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jjunemann2024_udec_cl/Documents/Universidad/Carrera/Segundo Año/Segundo Semestre/Fenomenos de Transporte/Certamen/"/>
    </mc:Choice>
  </mc:AlternateContent>
  <xr:revisionPtr revIDLastSave="301" documentId="13_ncr:1_{13F443DE-ECD5-40DF-B77D-865A5167D99E}" xr6:coauthVersionLast="47" xr6:coauthVersionMax="47" xr10:uidLastSave="{5D70E777-9452-43F2-90F5-79149154B1E1}"/>
  <bookViews>
    <workbookView xWindow="-120" yWindow="-120" windowWidth="29040" windowHeight="15720" xr2:uid="{00000000-000D-0000-FFFF-FFFF00000000}"/>
  </bookViews>
  <sheets>
    <sheet name="3comp" sheetId="1" r:id="rId1"/>
    <sheet name="2comp" sheetId="2" r:id="rId2"/>
    <sheet name="2comp(2)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" i="6"/>
  <c r="C17" i="6"/>
  <c r="C16" i="6"/>
  <c r="C15" i="6"/>
  <c r="C14" i="6"/>
  <c r="H3" i="6"/>
  <c r="D17" i="6" s="1"/>
  <c r="E3" i="6"/>
  <c r="H2" i="6"/>
  <c r="E2" i="6"/>
  <c r="C17" i="2"/>
  <c r="C16" i="2"/>
  <c r="C15" i="2"/>
  <c r="C14" i="2"/>
  <c r="H3" i="2"/>
  <c r="E3" i="2"/>
  <c r="H2" i="2"/>
  <c r="E2" i="2"/>
  <c r="C23" i="1"/>
  <c r="C22" i="1"/>
  <c r="C20" i="1"/>
  <c r="C19" i="1"/>
  <c r="C18" i="1"/>
  <c r="C17" i="1"/>
  <c r="C16" i="1"/>
  <c r="C15" i="1"/>
  <c r="H4" i="1"/>
  <c r="E4" i="1"/>
  <c r="H3" i="1"/>
  <c r="D19" i="1" s="1"/>
  <c r="E3" i="1"/>
  <c r="H2" i="1"/>
  <c r="D15" i="1" s="1"/>
  <c r="E15" i="1" s="1"/>
  <c r="F15" i="1" s="1"/>
  <c r="E2" i="1"/>
  <c r="E17" i="6" l="1"/>
  <c r="F17" i="6" s="1"/>
  <c r="D16" i="6"/>
  <c r="E16" i="6" s="1"/>
  <c r="F16" i="6" s="1"/>
  <c r="D14" i="6"/>
  <c r="E14" i="6" s="1"/>
  <c r="F14" i="6" s="1"/>
  <c r="D15" i="6"/>
  <c r="E15" i="6" s="1"/>
  <c r="F15" i="6" s="1"/>
  <c r="E19" i="1"/>
  <c r="F19" i="1" s="1"/>
  <c r="D16" i="2"/>
  <c r="E16" i="2" s="1"/>
  <c r="F16" i="2" s="1"/>
  <c r="D15" i="2"/>
  <c r="E15" i="2" s="1"/>
  <c r="F15" i="2" s="1"/>
  <c r="D22" i="1"/>
  <c r="E22" i="1" s="1"/>
  <c r="F22" i="1" s="1"/>
  <c r="D23" i="1"/>
  <c r="E23" i="1" s="1"/>
  <c r="F23" i="1" s="1"/>
  <c r="D16" i="1"/>
  <c r="E16" i="1" s="1"/>
  <c r="F16" i="1" s="1"/>
  <c r="D17" i="1"/>
  <c r="E17" i="1" s="1"/>
  <c r="F17" i="1" s="1"/>
  <c r="D20" i="1"/>
  <c r="E20" i="1" s="1"/>
  <c r="F20" i="1" s="1"/>
  <c r="D14" i="2"/>
  <c r="E14" i="2" s="1"/>
  <c r="F14" i="2" s="1"/>
  <c r="D17" i="2"/>
  <c r="E17" i="2" s="1"/>
  <c r="F17" i="2" s="1"/>
  <c r="D18" i="1"/>
  <c r="E18" i="1" s="1"/>
  <c r="F18" i="1" s="1"/>
  <c r="D21" i="1"/>
  <c r="E21" i="1" s="1"/>
  <c r="F21" i="1" s="1"/>
  <c r="G21" i="1" l="1"/>
  <c r="G15" i="1"/>
  <c r="G18" i="1"/>
  <c r="G24" i="1"/>
  <c r="G16" i="6"/>
  <c r="G14" i="6"/>
  <c r="G14" i="2"/>
  <c r="G16" i="2"/>
  <c r="G18" i="6" l="1"/>
  <c r="G18" i="2"/>
</calcChain>
</file>

<file path=xl/sharedStrings.xml><?xml version="1.0" encoding="utf-8"?>
<sst xmlns="http://schemas.openxmlformats.org/spreadsheetml/2006/main" count="76" uniqueCount="28">
  <si>
    <t>Sustancia</t>
  </si>
  <si>
    <t>E/k</t>
  </si>
  <si>
    <t>M</t>
  </si>
  <si>
    <t>X_i</t>
  </si>
  <si>
    <t>T*</t>
  </si>
  <si>
    <t>Ω_μ</t>
  </si>
  <si>
    <t>𝜎</t>
  </si>
  <si>
    <t>μ</t>
  </si>
  <si>
    <t>μ_0</t>
  </si>
  <si>
    <t>P</t>
  </si>
  <si>
    <t>T</t>
  </si>
  <si>
    <t>atm</t>
  </si>
  <si>
    <t>K</t>
  </si>
  <si>
    <t xml:space="preserve">f </t>
  </si>
  <si>
    <t>f</t>
  </si>
  <si>
    <t>i</t>
  </si>
  <si>
    <t>j</t>
  </si>
  <si>
    <t>M_i/M_j</t>
  </si>
  <si>
    <t>u_i/u_j</t>
  </si>
  <si>
    <t>φ_ij</t>
  </si>
  <si>
    <t>Σ x_j Φij</t>
  </si>
  <si>
    <t>Poises</t>
  </si>
  <si>
    <t xml:space="preserve"> x_j Φij</t>
  </si>
  <si>
    <t>N2</t>
  </si>
  <si>
    <t>O2</t>
  </si>
  <si>
    <t>n2</t>
  </si>
  <si>
    <t>o2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</si>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</sst>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0E+00"/>
  </numFmts>
  <fonts count="11"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Menlo"/>
    </font>
    <font>
      <b/>
      <sz val="13"/>
      <color theme="1"/>
      <name val="Aptos Narrow"/>
    </font>
    <font>
      <sz val="2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ptos Narrow"/>
      <family val="2"/>
    </font>
    <font>
      <sz val="13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0" borderId="6" xfId="0" applyFont="1" applyBorder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0" fontId="2" fillId="0" borderId="3" xfId="0" applyFont="1" applyBorder="1"/>
    <xf numFmtId="0" fontId="4" fillId="0" borderId="0" xfId="0" applyFont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164" fontId="2" fillId="0" borderId="10" xfId="0" applyNumberFormat="1" applyFont="1" applyBorder="1"/>
    <xf numFmtId="0" fontId="3" fillId="0" borderId="10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1" fillId="3" borderId="6" xfId="0" applyFont="1" applyFill="1" applyBorder="1"/>
    <xf numFmtId="165" fontId="2" fillId="0" borderId="0" xfId="0" applyNumberFormat="1" applyFont="1"/>
    <xf numFmtId="0" fontId="1" fillId="3" borderId="9" xfId="0" applyFont="1" applyFill="1" applyBorder="1"/>
    <xf numFmtId="165" fontId="2" fillId="0" borderId="10" xfId="0" applyNumberFormat="1" applyFont="1" applyBorder="1"/>
    <xf numFmtId="166" fontId="2" fillId="0" borderId="7" xfId="0" applyNumberFormat="1" applyFont="1" applyBorder="1"/>
    <xf numFmtId="166" fontId="2" fillId="0" borderId="3" xfId="0" applyNumberFormat="1" applyFont="1" applyBorder="1"/>
    <xf numFmtId="166" fontId="2" fillId="0" borderId="0" xfId="0" applyNumberFormat="1" applyFont="1"/>
    <xf numFmtId="166" fontId="2" fillId="0" borderId="10" xfId="0" applyNumberFormat="1" applyFont="1" applyBorder="1"/>
    <xf numFmtId="166" fontId="6" fillId="2" borderId="0" xfId="0" applyNumberFormat="1" applyFont="1" applyFill="1"/>
    <xf numFmtId="0" fontId="7" fillId="0" borderId="0" xfId="0" applyFont="1"/>
    <xf numFmtId="0" fontId="4" fillId="0" borderId="0" xfId="0" applyFont="1"/>
    <xf numFmtId="0" fontId="3" fillId="0" borderId="10" xfId="0" applyFont="1" applyBorder="1"/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10" fillId="0" borderId="0" xfId="0" applyFont="1"/>
    <xf numFmtId="0" fontId="7" fillId="0" borderId="10" xfId="0" applyFont="1" applyBorder="1"/>
    <xf numFmtId="0" fontId="7" fillId="0" borderId="6" xfId="0" applyFont="1" applyBorder="1"/>
    <xf numFmtId="0" fontId="7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"/>
  <sheetViews>
    <sheetView tabSelected="1" workbookViewId="0">
      <selection activeCell="F5" sqref="F5"/>
    </sheetView>
  </sheetViews>
  <sheetFormatPr baseColWidth="10" defaultColWidth="12.5703125" defaultRowHeight="15.75" customHeight="1"/>
  <cols>
    <col min="7" max="7" width="22.4257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K1" s="5" t="s">
        <v>9</v>
      </c>
      <c r="L1" s="6" t="s">
        <v>10</v>
      </c>
    </row>
    <row r="2" spans="1:12" ht="15.75" customHeight="1">
      <c r="A2" s="36" t="s">
        <v>25</v>
      </c>
      <c r="B2">
        <v>71.400000000000006</v>
      </c>
      <c r="C2" s="29">
        <v>28.013000000000002</v>
      </c>
      <c r="D2" s="8">
        <v>0.72819999999999996</v>
      </c>
      <c r="E2" s="9">
        <f>$L$2/B2</f>
        <v>9.4278711484593831</v>
      </c>
      <c r="F2" s="10">
        <v>0.83230000000000004</v>
      </c>
      <c r="G2" s="9">
        <v>3.798</v>
      </c>
      <c r="H2" s="26">
        <f>IF(I2&lt;&gt;0,I2,(2.6693*10^-5)*(SQRT(C2*$L$2)/(G2^2*F2)))</f>
        <v>3.0531160108344751E-4</v>
      </c>
      <c r="I2" s="11"/>
      <c r="K2" s="12">
        <v>1</v>
      </c>
      <c r="L2" s="13">
        <v>673.15</v>
      </c>
    </row>
    <row r="3" spans="1:12" ht="15.75" customHeight="1">
      <c r="A3" s="36" t="s">
        <v>26</v>
      </c>
      <c r="B3">
        <v>106.7</v>
      </c>
      <c r="C3" s="29">
        <v>31.998999999999999</v>
      </c>
      <c r="D3" s="8">
        <v>0.19359999999999999</v>
      </c>
      <c r="E3" s="9">
        <f>$L$2/B3</f>
        <v>6.3088097469540765</v>
      </c>
      <c r="F3" s="14">
        <v>0.88719999999999999</v>
      </c>
      <c r="G3" s="9">
        <v>3.4670000000000001</v>
      </c>
      <c r="H3" s="26">
        <f>IF(I3&lt;&gt;0,I3,(2.6693*10^-5)*(SQRT(C3*$L$2)/(G3^2*F3)))</f>
        <v>3.6736036532713715E-4</v>
      </c>
      <c r="I3" s="11"/>
      <c r="K3" s="8" t="s">
        <v>11</v>
      </c>
      <c r="L3" s="8" t="s">
        <v>12</v>
      </c>
    </row>
    <row r="4" spans="1:12" ht="15.75" customHeight="1">
      <c r="A4" s="37" t="s">
        <v>27</v>
      </c>
      <c r="B4" s="16">
        <v>356</v>
      </c>
      <c r="C4" s="35">
        <v>18.015000000000001</v>
      </c>
      <c r="D4" s="16">
        <v>7.8E-2</v>
      </c>
      <c r="E4" s="17">
        <f>$L$2/B4</f>
        <v>1.8908707865168539</v>
      </c>
      <c r="F4" s="18">
        <v>1.1996</v>
      </c>
      <c r="G4" s="17">
        <v>2.649</v>
      </c>
      <c r="H4" s="27">
        <f>IF(I4&lt;&gt;0,I4,(2.6693*10^-5)*(SQRT(C4*$L$2)/(G4^2*F4)))</f>
        <v>3.491966519294087E-4</v>
      </c>
      <c r="I4" s="13"/>
    </row>
    <row r="5" spans="1:12" ht="15.75" customHeight="1">
      <c r="E5" s="9" t="s">
        <v>13</v>
      </c>
      <c r="G5" s="9"/>
      <c r="H5" s="8" t="s">
        <v>14</v>
      </c>
    </row>
    <row r="6" spans="1:12" ht="15.75" customHeight="1">
      <c r="E6" s="9"/>
      <c r="G6" s="9"/>
    </row>
    <row r="7" spans="1:12" ht="15.75" customHeight="1">
      <c r="G7" s="9"/>
      <c r="I7" s="9"/>
    </row>
    <row r="14" spans="1:12" ht="15.75" customHeight="1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19" t="s">
        <v>22</v>
      </c>
      <c r="G14" s="1" t="s">
        <v>20</v>
      </c>
    </row>
    <row r="15" spans="1:12" ht="15.75" customHeight="1">
      <c r="A15" s="20">
        <v>1</v>
      </c>
      <c r="B15" s="8">
        <v>1</v>
      </c>
      <c r="C15" s="21">
        <f>C2/C2</f>
        <v>1</v>
      </c>
      <c r="D15" s="21">
        <f>H2/H2</f>
        <v>1</v>
      </c>
      <c r="E15" s="21">
        <f t="shared" ref="E15:E23" si="0">8^(-1/2)*(1+C15)^(-1/2)*(1+D15^(1/2)*C15^(-1/4))^2</f>
        <v>0.99999999999999978</v>
      </c>
      <c r="F15" s="21">
        <f>D2*E15</f>
        <v>0.72819999999999985</v>
      </c>
      <c r="G15" s="24">
        <f>SUM(F15:F17)</f>
        <v>0.97503290748022697</v>
      </c>
    </row>
    <row r="16" spans="1:12" ht="15.75" customHeight="1">
      <c r="A16" s="20"/>
      <c r="B16" s="8">
        <v>2</v>
      </c>
      <c r="C16" s="21">
        <f>C2/C3</f>
        <v>0.87543360730022823</v>
      </c>
      <c r="D16" s="21">
        <f>H2/H3</f>
        <v>0.83109564857810736</v>
      </c>
      <c r="E16" s="21">
        <f t="shared" si="0"/>
        <v>0.97412547533163196</v>
      </c>
      <c r="F16" s="21">
        <f>D3*E16</f>
        <v>0.18859069202420395</v>
      </c>
      <c r="G16" s="24"/>
    </row>
    <row r="17" spans="1:8" ht="15.75" customHeight="1">
      <c r="A17" s="22"/>
      <c r="B17" s="16">
        <v>3</v>
      </c>
      <c r="C17" s="23">
        <f>C2/C4</f>
        <v>1.5549819594782126</v>
      </c>
      <c r="D17" s="23">
        <f>H2/H4</f>
        <v>0.87432568266767718</v>
      </c>
      <c r="E17" s="23">
        <f t="shared" si="0"/>
        <v>0.74669506994901436</v>
      </c>
      <c r="F17" s="23">
        <f>D4*E17</f>
        <v>5.8242215456023122E-2</v>
      </c>
      <c r="G17" s="25"/>
    </row>
    <row r="18" spans="1:8" ht="15.75" customHeight="1">
      <c r="A18" s="20">
        <v>2</v>
      </c>
      <c r="B18" s="8">
        <v>1</v>
      </c>
      <c r="C18" s="21">
        <f>C3/C2</f>
        <v>1.1422910791418268</v>
      </c>
      <c r="D18" s="21">
        <f>H3/H2</f>
        <v>1.2032309418426932</v>
      </c>
      <c r="E18" s="21">
        <f t="shared" si="0"/>
        <v>1.0260939042234376</v>
      </c>
      <c r="F18" s="21">
        <f>D2*E18</f>
        <v>0.74720158105550727</v>
      </c>
      <c r="G18" s="24">
        <f>SUM(F18:F20)</f>
        <v>0.99982635913220641</v>
      </c>
    </row>
    <row r="19" spans="1:8" ht="15.75" customHeight="1">
      <c r="A19" s="20"/>
      <c r="B19" s="8">
        <v>2</v>
      </c>
      <c r="C19" s="21">
        <f>C3/C3</f>
        <v>1</v>
      </c>
      <c r="D19" s="21">
        <f>H3/H3</f>
        <v>1</v>
      </c>
      <c r="E19" s="21">
        <f t="shared" si="0"/>
        <v>0.99999999999999978</v>
      </c>
      <c r="F19" s="21">
        <f>D3*E19</f>
        <v>0.19359999999999994</v>
      </c>
      <c r="G19" s="24"/>
    </row>
    <row r="20" spans="1:8" ht="16.5">
      <c r="A20" s="22"/>
      <c r="B20" s="16">
        <v>3</v>
      </c>
      <c r="C20" s="23">
        <f>C3/C4</f>
        <v>1.7762420205384402</v>
      </c>
      <c r="D20" s="23">
        <f>H3/H4</f>
        <v>1.0520157146334848</v>
      </c>
      <c r="E20" s="23">
        <f t="shared" si="0"/>
        <v>0.75672792406024514</v>
      </c>
      <c r="F20" s="23">
        <f>D4*E20</f>
        <v>5.9024778076699119E-2</v>
      </c>
      <c r="G20" s="25"/>
    </row>
    <row r="21" spans="1:8" ht="16.5">
      <c r="A21" s="20">
        <v>3</v>
      </c>
      <c r="B21" s="8">
        <v>1</v>
      </c>
      <c r="C21" s="21">
        <f>C4/C2</f>
        <v>0.64309427765680216</v>
      </c>
      <c r="D21" s="21">
        <f>H4/H2</f>
        <v>1.1437385631277293</v>
      </c>
      <c r="E21" s="21">
        <f t="shared" si="0"/>
        <v>1.3279918296113482</v>
      </c>
      <c r="F21" s="21">
        <f>D2*E21</f>
        <v>0.96704365032298367</v>
      </c>
      <c r="G21" s="24">
        <f>SUM(F21:F23)</f>
        <v>1.2924011178500443</v>
      </c>
    </row>
    <row r="22" spans="1:8" ht="16.5">
      <c r="A22" s="20"/>
      <c r="B22" s="8">
        <v>2</v>
      </c>
      <c r="C22" s="21">
        <f>C4/C3</f>
        <v>0.56298634332322894</v>
      </c>
      <c r="D22" s="21">
        <f>H4/H3</f>
        <v>0.95055614292643265</v>
      </c>
      <c r="E22" s="21">
        <f t="shared" si="0"/>
        <v>1.2776728694579575</v>
      </c>
      <c r="F22" s="21">
        <f>D3*E22</f>
        <v>0.24735746752706059</v>
      </c>
      <c r="G22" s="24"/>
    </row>
    <row r="23" spans="1:8" ht="16.5">
      <c r="A23" s="22"/>
      <c r="B23" s="16">
        <v>3</v>
      </c>
      <c r="C23" s="23">
        <f>C4/C4</f>
        <v>1</v>
      </c>
      <c r="D23" s="23">
        <f>H4/H4</f>
        <v>1</v>
      </c>
      <c r="E23" s="23">
        <f t="shared" si="0"/>
        <v>0.99999999999999978</v>
      </c>
      <c r="F23" s="23">
        <f>D4*E23</f>
        <v>7.7999999999999986E-2</v>
      </c>
      <c r="G23" s="25"/>
    </row>
    <row r="24" spans="1:8" ht="25.5">
      <c r="G24" s="28">
        <f>(D2*H2)/G15+(D3*H3)/G18+(D4*H4)/G21</f>
        <v>3.202292345003092E-4</v>
      </c>
      <c r="H24" s="29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9"/>
  <sheetViews>
    <sheetView workbookViewId="0">
      <selection activeCell="C10" sqref="C10"/>
    </sheetView>
  </sheetViews>
  <sheetFormatPr baseColWidth="10" defaultColWidth="12.5703125" defaultRowHeight="15.75" customHeight="1"/>
  <cols>
    <col min="7" max="7" width="21.85546875" bestFit="1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K1" s="5" t="s">
        <v>9</v>
      </c>
      <c r="L1" s="6" t="s">
        <v>10</v>
      </c>
    </row>
    <row r="2" spans="1:12" ht="15.75" customHeight="1">
      <c r="A2" s="7" t="s">
        <v>23</v>
      </c>
      <c r="B2">
        <v>71.400000000000006</v>
      </c>
      <c r="C2">
        <v>28.013000000000002</v>
      </c>
      <c r="D2">
        <v>0.79</v>
      </c>
      <c r="E2" s="9">
        <f>$L$2/B2</f>
        <v>9.4278711484593831</v>
      </c>
      <c r="F2" s="30">
        <v>0.83230000000000004</v>
      </c>
      <c r="G2" s="9">
        <v>3.798</v>
      </c>
      <c r="H2" s="26">
        <f>IF(I2&lt;&gt;0,I2,(2.6693*10^-5)*(SQRT(C2*$L$2)/(G2^2*F2)))</f>
        <v>3.0531160108344751E-4</v>
      </c>
      <c r="I2" s="11"/>
      <c r="K2" s="12">
        <v>1</v>
      </c>
      <c r="L2" s="13">
        <v>673.15</v>
      </c>
    </row>
    <row r="3" spans="1:12" ht="15.75" customHeight="1">
      <c r="A3" s="15" t="s">
        <v>24</v>
      </c>
      <c r="B3" s="16">
        <v>106.7</v>
      </c>
      <c r="C3" s="16">
        <v>31.998999999999999</v>
      </c>
      <c r="D3" s="16">
        <v>0.21</v>
      </c>
      <c r="E3" s="17">
        <f>$L$2/B3</f>
        <v>6.3088097469540765</v>
      </c>
      <c r="F3" s="31">
        <v>0.88719999999999999</v>
      </c>
      <c r="G3" s="17">
        <v>3.4670000000000001</v>
      </c>
      <c r="H3" s="27">
        <f>IF(I3&lt;&gt;0,I3,(2.6693*10^-5)*(SQRT(C3*$L$2)/(G3^2*F3)))</f>
        <v>3.6736036532713715E-4</v>
      </c>
      <c r="I3" s="13"/>
      <c r="K3" s="8" t="s">
        <v>11</v>
      </c>
      <c r="L3" s="8" t="s">
        <v>12</v>
      </c>
    </row>
    <row r="4" spans="1:12" ht="15.75" customHeight="1">
      <c r="E4" s="9" t="s">
        <v>13</v>
      </c>
      <c r="G4" s="9"/>
      <c r="H4" s="8" t="s">
        <v>14</v>
      </c>
    </row>
    <row r="5" spans="1:12" ht="15.75" customHeight="1">
      <c r="E5" s="9"/>
      <c r="G5" s="9"/>
    </row>
    <row r="6" spans="1:12" ht="15.75" customHeight="1">
      <c r="G6" s="9"/>
      <c r="I6" s="9"/>
    </row>
    <row r="13" spans="1:12" ht="15.75" customHeight="1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32" t="s">
        <v>22</v>
      </c>
      <c r="G13" s="33" t="s">
        <v>20</v>
      </c>
    </row>
    <row r="14" spans="1:12" ht="15.75" customHeight="1">
      <c r="A14" s="20">
        <v>1</v>
      </c>
      <c r="B14" s="8">
        <v>1</v>
      </c>
      <c r="C14" s="21">
        <f>C2/C2</f>
        <v>1</v>
      </c>
      <c r="D14" s="21">
        <f>H2/H2</f>
        <v>1</v>
      </c>
      <c r="E14" s="21">
        <f t="shared" ref="E14:E17" si="0">8^(-1/2)*(1+C14)^(-1/2)*(1+D14^(1/2)*C14^(-1/4))^2</f>
        <v>0.99999999999999978</v>
      </c>
      <c r="F14" s="21">
        <f>D2*E14</f>
        <v>0.78999999999999981</v>
      </c>
      <c r="G14" s="24">
        <f>(F14+F15)</f>
        <v>0.99456634981964254</v>
      </c>
    </row>
    <row r="15" spans="1:12" ht="15.75" customHeight="1">
      <c r="A15" s="22"/>
      <c r="B15" s="16">
        <v>2</v>
      </c>
      <c r="C15" s="23">
        <f>C2/C3</f>
        <v>0.87543360730022823</v>
      </c>
      <c r="D15" s="23">
        <f>H2/H3</f>
        <v>0.83109564857810736</v>
      </c>
      <c r="E15" s="23">
        <f t="shared" si="0"/>
        <v>0.97412547533163196</v>
      </c>
      <c r="F15" s="23">
        <f>D3*E15</f>
        <v>0.2045663498196427</v>
      </c>
      <c r="G15" s="25"/>
    </row>
    <row r="16" spans="1:12" ht="15.75" customHeight="1">
      <c r="A16" s="20">
        <v>2</v>
      </c>
      <c r="B16" s="8">
        <v>1</v>
      </c>
      <c r="C16" s="21">
        <f>C3/C2</f>
        <v>1.1422910791418268</v>
      </c>
      <c r="D16" s="21">
        <f>H3/H2</f>
        <v>1.2032309418426932</v>
      </c>
      <c r="E16" s="21">
        <f t="shared" si="0"/>
        <v>1.0260939042234376</v>
      </c>
      <c r="F16" s="21">
        <f>D2*E16</f>
        <v>0.81061418433651578</v>
      </c>
      <c r="G16" s="24">
        <f>F16+F17</f>
        <v>1.0206141843365157</v>
      </c>
    </row>
    <row r="17" spans="1:8" ht="15.75" customHeight="1">
      <c r="A17" s="22"/>
      <c r="B17" s="16">
        <v>2</v>
      </c>
      <c r="C17" s="23">
        <f>C3/C3</f>
        <v>1</v>
      </c>
      <c r="D17" s="23">
        <f>H3/H3</f>
        <v>1</v>
      </c>
      <c r="E17" s="23">
        <f t="shared" si="0"/>
        <v>0.99999999999999978</v>
      </c>
      <c r="F17" s="23">
        <f>D3*E17</f>
        <v>0.20999999999999994</v>
      </c>
      <c r="G17" s="25"/>
    </row>
    <row r="18" spans="1:8" ht="32.25" customHeight="1">
      <c r="G18" s="28">
        <f>(D2*H2)/G14+(D3*H3)/G16</f>
        <v>3.1810140257396727E-4</v>
      </c>
      <c r="H18" s="8" t="s">
        <v>21</v>
      </c>
    </row>
    <row r="19" spans="1:8" ht="15.75" customHeight="1">
      <c r="G19" s="3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D9A6-6C6F-4DD4-AA34-055D9680BF46}">
  <sheetPr>
    <outlinePr summaryBelow="0" summaryRight="0"/>
  </sheetPr>
  <dimension ref="A1:L19"/>
  <sheetViews>
    <sheetView workbookViewId="0">
      <selection activeCell="C5" sqref="C5"/>
    </sheetView>
  </sheetViews>
  <sheetFormatPr baseColWidth="10" defaultColWidth="12.5703125" defaultRowHeight="15.75" customHeight="1"/>
  <cols>
    <col min="7" max="7" width="21.85546875" bestFit="1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K1" s="5" t="s">
        <v>9</v>
      </c>
      <c r="L1" s="6" t="s">
        <v>10</v>
      </c>
    </row>
    <row r="2" spans="1:12" ht="15.75" customHeight="1">
      <c r="A2" s="7" t="s">
        <v>23</v>
      </c>
      <c r="B2">
        <v>71.400000000000006</v>
      </c>
      <c r="C2">
        <v>28.013000000000002</v>
      </c>
      <c r="D2">
        <f>1-D3</f>
        <v>0.72</v>
      </c>
      <c r="E2" s="9">
        <f>$L$2/B2</f>
        <v>9.4278711484593831</v>
      </c>
      <c r="F2" s="30">
        <v>0.83230000000000004</v>
      </c>
      <c r="G2" s="9">
        <v>3.798</v>
      </c>
      <c r="H2" s="26">
        <f>IF(I2&lt;&gt;0,I2,(2.6693*10^-5)*(SQRT(C2*$L$2)/(G2^2*F2)))</f>
        <v>3.0531160108344751E-4</v>
      </c>
      <c r="I2" s="11"/>
      <c r="K2" s="12">
        <v>1</v>
      </c>
      <c r="L2" s="13">
        <v>673.15</v>
      </c>
    </row>
    <row r="3" spans="1:12" ht="15.75" customHeight="1">
      <c r="A3" s="15" t="s">
        <v>24</v>
      </c>
      <c r="B3" s="16">
        <v>106.7</v>
      </c>
      <c r="C3" s="16">
        <v>31.998999999999999</v>
      </c>
      <c r="D3" s="16">
        <v>0.28000000000000003</v>
      </c>
      <c r="E3" s="17">
        <f>$L$2/B3</f>
        <v>6.3088097469540765</v>
      </c>
      <c r="F3" s="31">
        <v>0.88719999999999999</v>
      </c>
      <c r="G3" s="17">
        <v>3.4670000000000001</v>
      </c>
      <c r="H3" s="27">
        <f>IF(I3&lt;&gt;0,I3,(2.6693*10^-5)*(SQRT(C3*$L$2)/(G3^2*F3)))</f>
        <v>3.6736036532713715E-4</v>
      </c>
      <c r="I3" s="13"/>
      <c r="K3" s="8" t="s">
        <v>11</v>
      </c>
      <c r="L3" s="8" t="s">
        <v>12</v>
      </c>
    </row>
    <row r="4" spans="1:12" ht="15.75" customHeight="1">
      <c r="E4" s="9" t="s">
        <v>13</v>
      </c>
      <c r="G4" s="9"/>
      <c r="H4" s="8" t="s">
        <v>14</v>
      </c>
    </row>
    <row r="5" spans="1:12" ht="15.75" customHeight="1">
      <c r="E5" s="9"/>
      <c r="G5" s="9"/>
    </row>
    <row r="6" spans="1:12" ht="15.75" customHeight="1">
      <c r="G6" s="9"/>
      <c r="I6" s="9"/>
    </row>
    <row r="13" spans="1:12" ht="15.75" customHeight="1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32" t="s">
        <v>22</v>
      </c>
      <c r="G13" s="33" t="s">
        <v>20</v>
      </c>
    </row>
    <row r="14" spans="1:12" ht="15.75" customHeight="1">
      <c r="A14" s="20">
        <v>1</v>
      </c>
      <c r="B14" s="8">
        <v>1</v>
      </c>
      <c r="C14" s="21">
        <f>C2/C2</f>
        <v>1</v>
      </c>
      <c r="D14" s="21">
        <f>H2/H2</f>
        <v>1</v>
      </c>
      <c r="E14" s="21">
        <f t="shared" ref="E14:E17" si="0">8^(-1/2)*(1+C14)^(-1/2)*(1+D14^(1/2)*C14^(-1/4))^2</f>
        <v>0.99999999999999978</v>
      </c>
      <c r="F14" s="21">
        <f>D2*E14</f>
        <v>0.71999999999999986</v>
      </c>
      <c r="G14" s="24">
        <f>(F14+F15)</f>
        <v>0.99275513309285679</v>
      </c>
    </row>
    <row r="15" spans="1:12" ht="15.75" customHeight="1">
      <c r="A15" s="22"/>
      <c r="B15" s="16">
        <v>2</v>
      </c>
      <c r="C15" s="23">
        <f>C2/C3</f>
        <v>0.87543360730022823</v>
      </c>
      <c r="D15" s="23">
        <f>H2/H3</f>
        <v>0.83109564857810736</v>
      </c>
      <c r="E15" s="23">
        <f t="shared" si="0"/>
        <v>0.97412547533163196</v>
      </c>
      <c r="F15" s="23">
        <f>D3*E15</f>
        <v>0.27275513309285698</v>
      </c>
      <c r="G15" s="25"/>
    </row>
    <row r="16" spans="1:12" ht="15.75" customHeight="1">
      <c r="A16" s="20">
        <v>2</v>
      </c>
      <c r="B16" s="8">
        <v>1</v>
      </c>
      <c r="C16" s="21">
        <f>C3/C2</f>
        <v>1.1422910791418268</v>
      </c>
      <c r="D16" s="21">
        <f>H3/H2</f>
        <v>1.2032309418426932</v>
      </c>
      <c r="E16" s="21">
        <f t="shared" si="0"/>
        <v>1.0260939042234376</v>
      </c>
      <c r="F16" s="21">
        <f>D2*E16</f>
        <v>0.73878761104087509</v>
      </c>
      <c r="G16" s="24">
        <f>F16+F17</f>
        <v>1.0187876110408751</v>
      </c>
    </row>
    <row r="17" spans="1:8" ht="15.75" customHeight="1">
      <c r="A17" s="22"/>
      <c r="B17" s="16">
        <v>2</v>
      </c>
      <c r="C17" s="23">
        <f>C3/C3</f>
        <v>1</v>
      </c>
      <c r="D17" s="23">
        <f>H3/H3</f>
        <v>1</v>
      </c>
      <c r="E17" s="23">
        <f t="shared" si="0"/>
        <v>0.99999999999999978</v>
      </c>
      <c r="F17" s="23">
        <f>D3*E17</f>
        <v>0.27999999999999997</v>
      </c>
      <c r="G17" s="25"/>
    </row>
    <row r="18" spans="1:8" ht="32.25" customHeight="1">
      <c r="G18" s="28">
        <f>(D2*H2)/G14+(D3*H3)/G16</f>
        <v>3.2239260270176308E-4</v>
      </c>
      <c r="H18" s="8" t="s">
        <v>21</v>
      </c>
    </row>
    <row r="19" spans="1:8" ht="15.75" customHeight="1">
      <c r="G19" s="3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3comp</vt:lpstr>
      <vt:lpstr>2comp</vt:lpstr>
      <vt:lpstr>2comp(2)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Benjamin Junemann Vielma</cp:lastModifiedBy>
  <dcterms:modified xsi:type="dcterms:W3CDTF">2025-10-21T01:15:24Z</dcterms:modified>
</cp:coreProperties>
</file>