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deconce-my.sharepoint.com/personal/jjunemann2024_udec_cl/Documents/Universidad/Carrera/Segundo Año/Segundo Semestre/Fenomenos de Transporte/Certamen 2/"/>
    </mc:Choice>
  </mc:AlternateContent>
  <xr:revisionPtr revIDLastSave="29" documentId="11_B091C9E163320C2A5DB52BB1AEBD89700CC863D6" xr6:coauthVersionLast="47" xr6:coauthVersionMax="47" xr10:uidLastSave="{DF856EFC-48D2-49B8-8542-BD5A43FB3B89}"/>
  <bookViews>
    <workbookView xWindow="-110" yWindow="-110" windowWidth="19420" windowHeight="10300" activeTab="2" xr2:uid="{00000000-000D-0000-FFFF-FFFF00000000}"/>
  </bookViews>
  <sheets>
    <sheet name="Gases NO polares" sheetId="1" r:id="rId1"/>
    <sheet name="Chapman-Enskog" sheetId="2" r:id="rId2"/>
    <sheet name="Wilkie" sheetId="3" r:id="rId3"/>
    <sheet name="Viscocidades" sheetId="4" r:id="rId4"/>
    <sheet name="Empirica Wilkie (3)" sheetId="5" r:id="rId5"/>
    <sheet name="Empirica Wilkie (2)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3" l="1"/>
  <c r="I4" i="3"/>
  <c r="D6" i="3"/>
  <c r="C17" i="6"/>
  <c r="C16" i="6"/>
  <c r="C15" i="6"/>
  <c r="C14" i="6"/>
  <c r="J3" i="6"/>
  <c r="H3" i="6" s="1"/>
  <c r="E3" i="6"/>
  <c r="J2" i="6"/>
  <c r="H2" i="6" s="1"/>
  <c r="E2" i="6"/>
  <c r="C23" i="5"/>
  <c r="C22" i="5"/>
  <c r="C21" i="5"/>
  <c r="C20" i="5"/>
  <c r="C19" i="5"/>
  <c r="C18" i="5"/>
  <c r="C17" i="5"/>
  <c r="C16" i="5"/>
  <c r="D15" i="5"/>
  <c r="C15" i="5"/>
  <c r="E15" i="5" s="1"/>
  <c r="F15" i="5" s="1"/>
  <c r="G15" i="5" s="1"/>
  <c r="J4" i="5"/>
  <c r="H4" i="5" s="1"/>
  <c r="E4" i="5"/>
  <c r="J3" i="5"/>
  <c r="H3" i="5" s="1"/>
  <c r="E3" i="5"/>
  <c r="J2" i="5"/>
  <c r="H2" i="5"/>
  <c r="E2" i="5"/>
  <c r="H11" i="4"/>
  <c r="E11" i="4"/>
  <c r="H10" i="4"/>
  <c r="E10" i="4"/>
  <c r="H9" i="4"/>
  <c r="E9" i="4"/>
  <c r="G10" i="2"/>
  <c r="G12" i="2" s="1"/>
  <c r="F10" i="2"/>
  <c r="H10" i="2" s="1"/>
  <c r="B21" i="1"/>
  <c r="E8" i="1"/>
  <c r="E11" i="1" s="1"/>
  <c r="E10" i="3" l="1"/>
  <c r="D21" i="5"/>
  <c r="E21" i="5" s="1"/>
  <c r="F21" i="5" s="1"/>
  <c r="G21" i="5" s="1"/>
  <c r="D23" i="5"/>
  <c r="D22" i="5"/>
  <c r="E22" i="5" s="1"/>
  <c r="F22" i="5" s="1"/>
  <c r="D20" i="5"/>
  <c r="E20" i="5" s="1"/>
  <c r="F20" i="5" s="1"/>
  <c r="D18" i="5"/>
  <c r="E18" i="5" s="1"/>
  <c r="F18" i="5" s="1"/>
  <c r="G18" i="5" s="1"/>
  <c r="D19" i="5"/>
  <c r="E23" i="5"/>
  <c r="F23" i="5" s="1"/>
  <c r="E17" i="5"/>
  <c r="F17" i="5" s="1"/>
  <c r="D15" i="6"/>
  <c r="E15" i="6" s="1"/>
  <c r="F15" i="6" s="1"/>
  <c r="D14" i="6"/>
  <c r="E14" i="6" s="1"/>
  <c r="F14" i="6" s="1"/>
  <c r="D17" i="6"/>
  <c r="D16" i="6"/>
  <c r="E16" i="6"/>
  <c r="F16" i="6" s="1"/>
  <c r="D17" i="5"/>
  <c r="E19" i="5"/>
  <c r="F19" i="5" s="1"/>
  <c r="E17" i="6"/>
  <c r="F17" i="6" s="1"/>
  <c r="D16" i="5"/>
  <c r="E16" i="5" s="1"/>
  <c r="F16" i="5" s="1"/>
  <c r="G24" i="5" l="1"/>
  <c r="G14" i="6"/>
  <c r="G16" i="6"/>
  <c r="G18" i="6" l="1"/>
</calcChain>
</file>

<file path=xl/sharedStrings.xml><?xml version="1.0" encoding="utf-8"?>
<sst xmlns="http://schemas.openxmlformats.org/spreadsheetml/2006/main" count="105" uniqueCount="53">
  <si>
    <t>Datos</t>
  </si>
  <si>
    <t>Sustancia</t>
  </si>
  <si>
    <t>P_c (atm)</t>
  </si>
  <si>
    <t>T_c (K)</t>
  </si>
  <si>
    <t>M (g/mol)</t>
  </si>
  <si>
    <t>A</t>
  </si>
  <si>
    <t>B</t>
  </si>
  <si>
    <t>Temperatura (K)</t>
  </si>
  <si>
    <t>Presion (atm)</t>
  </si>
  <si>
    <t>a (cte)</t>
  </si>
  <si>
    <t>b (cte)</t>
  </si>
  <si>
    <t>D_ab</t>
  </si>
  <si>
    <t xml:space="preserve"> cm^2 / s </t>
  </si>
  <si>
    <t>Para H_2O con gas NO polar</t>
  </si>
  <si>
    <t>a</t>
  </si>
  <si>
    <t>b</t>
  </si>
  <si>
    <t>E/K (K)</t>
  </si>
  <si>
    <t>𝜎 (A)</t>
  </si>
  <si>
    <t>T (K)</t>
  </si>
  <si>
    <t>P (atm)</t>
  </si>
  <si>
    <t>CO2</t>
  </si>
  <si>
    <t>N2</t>
  </si>
  <si>
    <t>E/K_ab</t>
  </si>
  <si>
    <t>𝜎_ab</t>
  </si>
  <si>
    <t>T*</t>
  </si>
  <si>
    <t>Ω_Dab</t>
  </si>
  <si>
    <t>cm^2/s</t>
  </si>
  <si>
    <t>M_A (g/mol)</t>
  </si>
  <si>
    <t>M_b (g/mol)</t>
  </si>
  <si>
    <t>ρ_A (g/cm^3)</t>
  </si>
  <si>
    <t>μ_B (cP)</t>
  </si>
  <si>
    <t>V_A (cm^3/mol)</t>
  </si>
  <si>
    <t>φ_B (cte)</t>
  </si>
  <si>
    <t>E/k (K)</t>
  </si>
  <si>
    <t>Ω_μ</t>
  </si>
  <si>
    <t>μ (g/cm s)</t>
  </si>
  <si>
    <t>μ_0</t>
  </si>
  <si>
    <t xml:space="preserve">f </t>
  </si>
  <si>
    <t>f</t>
  </si>
  <si>
    <t>M (g / mol)</t>
  </si>
  <si>
    <t>X_i</t>
  </si>
  <si>
    <t>K ( cal / cm s K)</t>
  </si>
  <si>
    <t>C_p (Masico) (cal/ g k)</t>
  </si>
  <si>
    <t>R ( cal / mol K)</t>
  </si>
  <si>
    <t>i</t>
  </si>
  <si>
    <t>j</t>
  </si>
  <si>
    <t>M_i/M_j</t>
  </si>
  <si>
    <t>u_i/u_j</t>
  </si>
  <si>
    <t>φ_ij</t>
  </si>
  <si>
    <t xml:space="preserve"> x_j Φij</t>
  </si>
  <si>
    <t>Σ x_j Φij</t>
  </si>
  <si>
    <t>Molar/M=Masico</t>
  </si>
  <si>
    <t>Poises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</si>
</sst>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E+00"/>
    <numFmt numFmtId="167" formatCode="#,##0.0000"/>
  </numFmts>
  <fonts count="14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sz val="10"/>
      <color theme="1"/>
      <name val="Arial"/>
      <scheme val="minor"/>
    </font>
    <font>
      <sz val="14"/>
      <color theme="1"/>
      <name val="Arial"/>
      <scheme val="minor"/>
    </font>
    <font>
      <sz val="15"/>
      <color theme="1"/>
      <name val="Arial"/>
      <scheme val="minor"/>
    </font>
    <font>
      <b/>
      <sz val="14"/>
      <color theme="1"/>
      <name val="Arial"/>
      <scheme val="minor"/>
    </font>
    <font>
      <sz val="12"/>
      <color theme="1"/>
      <name val="Arial"/>
      <scheme val="minor"/>
    </font>
    <font>
      <b/>
      <sz val="15"/>
      <color theme="1"/>
      <name val="Arial"/>
      <scheme val="minor"/>
    </font>
    <font>
      <b/>
      <sz val="13"/>
      <color theme="1"/>
      <name val="Arial"/>
    </font>
    <font>
      <sz val="10"/>
      <color theme="1"/>
      <name val="Arial"/>
    </font>
    <font>
      <sz val="13"/>
      <color theme="1"/>
      <name val="Arial"/>
    </font>
    <font>
      <b/>
      <sz val="13"/>
      <color theme="1"/>
      <name val="Aptos Narrow"/>
    </font>
    <font>
      <sz val="20"/>
      <color theme="1"/>
      <name val="Arial"/>
    </font>
    <font>
      <sz val="10"/>
      <color theme="1"/>
      <name val="Menlo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3" borderId="4" xfId="0" applyFont="1" applyFill="1" applyBorder="1"/>
    <xf numFmtId="0" fontId="2" fillId="0" borderId="5" xfId="0" applyFont="1" applyBorder="1"/>
    <xf numFmtId="0" fontId="1" fillId="3" borderId="6" xfId="0" applyFont="1" applyFill="1" applyBorder="1"/>
    <xf numFmtId="0" fontId="2" fillId="0" borderId="7" xfId="0" applyFont="1" applyBorder="1"/>
    <xf numFmtId="0" fontId="1" fillId="3" borderId="8" xfId="0" applyFont="1" applyFill="1" applyBorder="1"/>
    <xf numFmtId="0" fontId="2" fillId="0" borderId="9" xfId="0" applyFont="1" applyBorder="1"/>
    <xf numFmtId="0" fontId="2" fillId="0" borderId="0" xfId="0" applyFont="1"/>
    <xf numFmtId="0" fontId="3" fillId="2" borderId="1" xfId="0" applyFont="1" applyFill="1" applyBorder="1"/>
    <xf numFmtId="0" fontId="3" fillId="0" borderId="2" xfId="0" applyFont="1" applyBorder="1"/>
    <xf numFmtId="0" fontId="3" fillId="0" borderId="3" xfId="0" applyFont="1" applyBorder="1"/>
    <xf numFmtId="164" fontId="1" fillId="2" borderId="10" xfId="0" applyNumberFormat="1" applyFont="1" applyFill="1" applyBorder="1"/>
    <xf numFmtId="164" fontId="1" fillId="2" borderId="2" xfId="0" applyNumberFormat="1" applyFont="1" applyFill="1" applyBorder="1"/>
    <xf numFmtId="164" fontId="1" fillId="2" borderId="3" xfId="0" applyNumberFormat="1" applyFont="1" applyFill="1" applyBorder="1"/>
    <xf numFmtId="164" fontId="2" fillId="0" borderId="11" xfId="0" applyNumberFormat="1" applyFont="1" applyBorder="1"/>
    <xf numFmtId="164" fontId="2" fillId="0" borderId="0" xfId="0" applyNumberFormat="1" applyFont="1"/>
    <xf numFmtId="164" fontId="2" fillId="0" borderId="5" xfId="0" applyNumberFormat="1" applyFont="1" applyBorder="1"/>
    <xf numFmtId="164" fontId="2" fillId="0" borderId="12" xfId="0" applyNumberFormat="1" applyFont="1" applyBorder="1"/>
    <xf numFmtId="164" fontId="2" fillId="0" borderId="13" xfId="0" applyNumberFormat="1" applyFont="1" applyBorder="1"/>
    <xf numFmtId="164" fontId="2" fillId="0" borderId="7" xfId="0" applyNumberFormat="1" applyFont="1" applyBorder="1"/>
    <xf numFmtId="165" fontId="4" fillId="2" borderId="10" xfId="0" applyNumberFormat="1" applyFont="1" applyFill="1" applyBorder="1"/>
    <xf numFmtId="165" fontId="4" fillId="0" borderId="10" xfId="0" applyNumberFormat="1" applyFont="1" applyBorder="1"/>
    <xf numFmtId="0" fontId="4" fillId="0" borderId="3" xfId="0" applyFont="1" applyBorder="1"/>
    <xf numFmtId="164" fontId="1" fillId="0" borderId="0" xfId="0" applyNumberFormat="1" applyFont="1"/>
    <xf numFmtId="164" fontId="1" fillId="2" borderId="1" xfId="0" applyNumberFormat="1" applyFont="1" applyFill="1" applyBorder="1"/>
    <xf numFmtId="164" fontId="5" fillId="2" borderId="3" xfId="0" applyNumberFormat="1" applyFont="1" applyFill="1" applyBorder="1"/>
    <xf numFmtId="164" fontId="5" fillId="0" borderId="0" xfId="0" applyNumberFormat="1" applyFont="1"/>
    <xf numFmtId="164" fontId="5" fillId="2" borderId="1" xfId="0" applyNumberFormat="1" applyFont="1" applyFill="1" applyBorder="1"/>
    <xf numFmtId="164" fontId="1" fillId="0" borderId="4" xfId="0" applyNumberFormat="1" applyFont="1" applyBorder="1"/>
    <xf numFmtId="164" fontId="6" fillId="0" borderId="5" xfId="0" applyNumberFormat="1" applyFont="1" applyBorder="1"/>
    <xf numFmtId="164" fontId="5" fillId="0" borderId="4" xfId="0" applyNumberFormat="1" applyFont="1" applyBorder="1"/>
    <xf numFmtId="164" fontId="6" fillId="0" borderId="6" xfId="0" applyNumberFormat="1" applyFont="1" applyBorder="1"/>
    <xf numFmtId="164" fontId="1" fillId="0" borderId="6" xfId="0" applyNumberFormat="1" applyFont="1" applyBorder="1"/>
    <xf numFmtId="164" fontId="6" fillId="0" borderId="7" xfId="0" applyNumberFormat="1" applyFont="1" applyBorder="1"/>
    <xf numFmtId="164" fontId="5" fillId="0" borderId="6" xfId="0" applyNumberFormat="1" applyFont="1" applyBorder="1"/>
    <xf numFmtId="164" fontId="7" fillId="2" borderId="1" xfId="0" applyNumberFormat="1" applyFont="1" applyFill="1" applyBorder="1"/>
    <xf numFmtId="11" fontId="7" fillId="0" borderId="2" xfId="0" applyNumberFormat="1" applyFont="1" applyBorder="1"/>
    <xf numFmtId="164" fontId="7" fillId="0" borderId="3" xfId="0" applyNumberFormat="1" applyFont="1" applyBorder="1"/>
    <xf numFmtId="0" fontId="8" fillId="4" borderId="1" xfId="0" applyFont="1" applyFill="1" applyBorder="1"/>
    <xf numFmtId="0" fontId="8" fillId="4" borderId="2" xfId="0" applyFont="1" applyFill="1" applyBorder="1"/>
    <xf numFmtId="0" fontId="8" fillId="4" borderId="3" xfId="0" applyFont="1" applyFill="1" applyBorder="1"/>
    <xf numFmtId="0" fontId="9" fillId="0" borderId="0" xfId="0" applyFont="1"/>
    <xf numFmtId="0" fontId="8" fillId="3" borderId="10" xfId="0" applyFont="1" applyFill="1" applyBorder="1"/>
    <xf numFmtId="0" fontId="8" fillId="3" borderId="3" xfId="0" applyFont="1" applyFill="1" applyBorder="1"/>
    <xf numFmtId="0" fontId="9" fillId="0" borderId="4" xfId="0" applyFont="1" applyBorder="1"/>
    <xf numFmtId="0" fontId="9" fillId="0" borderId="0" xfId="0" applyFont="1" applyAlignment="1">
      <alignment horizontal="right"/>
    </xf>
    <xf numFmtId="165" fontId="9" fillId="0" borderId="0" xfId="0" applyNumberFormat="1" applyFont="1" applyAlignment="1">
      <alignment horizontal="center"/>
    </xf>
    <xf numFmtId="11" fontId="9" fillId="0" borderId="0" xfId="0" applyNumberFormat="1" applyFont="1" applyAlignment="1">
      <alignment horizontal="center"/>
    </xf>
    <xf numFmtId="0" fontId="9" fillId="0" borderId="5" xfId="0" applyFont="1" applyBorder="1" applyAlignment="1">
      <alignment horizontal="right"/>
    </xf>
    <xf numFmtId="0" fontId="9" fillId="0" borderId="12" xfId="0" applyFont="1" applyBorder="1"/>
    <xf numFmtId="0" fontId="9" fillId="0" borderId="7" xfId="0" applyFont="1" applyBorder="1"/>
    <xf numFmtId="0" fontId="9" fillId="0" borderId="6" xfId="0" applyFont="1" applyBorder="1"/>
    <xf numFmtId="0" fontId="9" fillId="0" borderId="13" xfId="0" applyFont="1" applyBorder="1"/>
    <xf numFmtId="0" fontId="9" fillId="0" borderId="13" xfId="0" applyFont="1" applyBorder="1" applyAlignment="1">
      <alignment horizontal="right"/>
    </xf>
    <xf numFmtId="165" fontId="9" fillId="0" borderId="13" xfId="0" applyNumberFormat="1" applyFont="1" applyBorder="1" applyAlignment="1">
      <alignment horizontal="center"/>
    </xf>
    <xf numFmtId="11" fontId="9" fillId="0" borderId="13" xfId="0" applyNumberFormat="1" applyFont="1" applyBorder="1" applyAlignment="1">
      <alignment horizontal="center"/>
    </xf>
    <xf numFmtId="0" fontId="9" fillId="0" borderId="7" xfId="0" applyFont="1" applyBorder="1" applyAlignment="1">
      <alignment horizontal="right"/>
    </xf>
    <xf numFmtId="165" fontId="9" fillId="0" borderId="0" xfId="0" applyNumberFormat="1" applyFont="1"/>
    <xf numFmtId="0" fontId="8" fillId="4" borderId="14" xfId="0" applyFont="1" applyFill="1" applyBorder="1"/>
    <xf numFmtId="0" fontId="8" fillId="4" borderId="15" xfId="0" applyFont="1" applyFill="1" applyBorder="1"/>
    <xf numFmtId="0" fontId="8" fillId="4" borderId="13" xfId="0" applyFont="1" applyFill="1" applyBorder="1"/>
    <xf numFmtId="0" fontId="1" fillId="4" borderId="7" xfId="0" applyFont="1" applyFill="1" applyBorder="1"/>
    <xf numFmtId="0" fontId="1" fillId="0" borderId="0" xfId="0" applyFont="1"/>
    <xf numFmtId="0" fontId="8" fillId="3" borderId="16" xfId="0" applyFont="1" applyFill="1" applyBorder="1"/>
    <xf numFmtId="0" fontId="8" fillId="3" borderId="17" xfId="0" applyFont="1" applyFill="1" applyBorder="1"/>
    <xf numFmtId="0" fontId="1" fillId="3" borderId="7" xfId="0" applyFont="1" applyFill="1" applyBorder="1"/>
    <xf numFmtId="165" fontId="9" fillId="0" borderId="0" xfId="0" applyNumberFormat="1" applyFont="1" applyAlignment="1">
      <alignment horizontal="right"/>
    </xf>
    <xf numFmtId="166" fontId="9" fillId="0" borderId="0" xfId="0" applyNumberFormat="1" applyFont="1" applyAlignment="1">
      <alignment horizontal="right"/>
    </xf>
    <xf numFmtId="0" fontId="9" fillId="0" borderId="12" xfId="0" applyFont="1" applyBorder="1" applyAlignment="1">
      <alignment horizontal="right"/>
    </xf>
    <xf numFmtId="165" fontId="9" fillId="0" borderId="13" xfId="0" applyNumberFormat="1" applyFont="1" applyBorder="1" applyAlignment="1">
      <alignment horizontal="right"/>
    </xf>
    <xf numFmtId="166" fontId="9" fillId="0" borderId="13" xfId="0" applyNumberFormat="1" applyFont="1" applyBorder="1" applyAlignment="1">
      <alignment horizontal="right"/>
    </xf>
    <xf numFmtId="0" fontId="10" fillId="4" borderId="1" xfId="0" applyFont="1" applyFill="1" applyBorder="1"/>
    <xf numFmtId="0" fontId="11" fillId="4" borderId="1" xfId="0" applyFont="1" applyFill="1" applyBorder="1" applyAlignment="1">
      <alignment horizontal="center"/>
    </xf>
    <xf numFmtId="0" fontId="10" fillId="3" borderId="18" xfId="0" applyFont="1" applyFill="1" applyBorder="1" applyAlignment="1">
      <alignment horizontal="right"/>
    </xf>
    <xf numFmtId="167" fontId="9" fillId="0" borderId="0" xfId="0" applyNumberFormat="1" applyFont="1" applyAlignment="1">
      <alignment horizontal="right"/>
    </xf>
    <xf numFmtId="166" fontId="9" fillId="0" borderId="5" xfId="0" applyNumberFormat="1" applyFont="1" applyBorder="1" applyAlignment="1">
      <alignment horizontal="right"/>
    </xf>
    <xf numFmtId="0" fontId="9" fillId="3" borderId="18" xfId="0" applyFont="1" applyFill="1" applyBorder="1"/>
    <xf numFmtId="166" fontId="9" fillId="0" borderId="5" xfId="0" applyNumberFormat="1" applyFont="1" applyBorder="1"/>
    <xf numFmtId="0" fontId="9" fillId="3" borderId="19" xfId="0" applyFont="1" applyFill="1" applyBorder="1"/>
    <xf numFmtId="167" fontId="9" fillId="0" borderId="13" xfId="0" applyNumberFormat="1" applyFont="1" applyBorder="1" applyAlignment="1">
      <alignment horizontal="right"/>
    </xf>
    <xf numFmtId="166" fontId="9" fillId="0" borderId="7" xfId="0" applyNumberFormat="1" applyFont="1" applyBorder="1"/>
    <xf numFmtId="166" fontId="12" fillId="4" borderId="20" xfId="0" applyNumberFormat="1" applyFont="1" applyFill="1" applyBorder="1" applyAlignment="1">
      <alignment horizontal="right"/>
    </xf>
    <xf numFmtId="0" fontId="13" fillId="0" borderId="0" xfId="0" applyFont="1" applyAlignment="1">
      <alignment horizontal="right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914400</xdr:colOff>
      <xdr:row>1</xdr:row>
      <xdr:rowOff>171450</xdr:rowOff>
    </xdr:from>
    <xdr:ext cx="5724525" cy="2771775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666750</xdr:colOff>
      <xdr:row>17</xdr:row>
      <xdr:rowOff>200025</xdr:rowOff>
    </xdr:from>
    <xdr:ext cx="5038725" cy="1019175"/>
    <xdr:pic>
      <xdr:nvPicPr>
        <xdr:cNvPr id="2" name="image4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466725</xdr:colOff>
      <xdr:row>11</xdr:row>
      <xdr:rowOff>149225</xdr:rowOff>
    </xdr:from>
    <xdr:ext cx="6029325" cy="24003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9375" y="2314575"/>
          <a:ext cx="6029325" cy="24003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600075</xdr:colOff>
      <xdr:row>12</xdr:row>
      <xdr:rowOff>190500</xdr:rowOff>
    </xdr:from>
    <xdr:ext cx="6257925" cy="1466850"/>
    <xdr:pic>
      <xdr:nvPicPr>
        <xdr:cNvPr id="2" name="image5.png" title="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600075</xdr:colOff>
      <xdr:row>19</xdr:row>
      <xdr:rowOff>190500</xdr:rowOff>
    </xdr:from>
    <xdr:ext cx="2105025" cy="885825"/>
    <xdr:pic>
      <xdr:nvPicPr>
        <xdr:cNvPr id="3" name="image2.png" title="Imagen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H22"/>
  <sheetViews>
    <sheetView workbookViewId="0">
      <selection activeCell="D3" sqref="D3"/>
    </sheetView>
  </sheetViews>
  <sheetFormatPr baseColWidth="10" defaultColWidth="12.6328125" defaultRowHeight="15.75" customHeight="1"/>
  <cols>
    <col min="1" max="1" width="18.36328125" customWidth="1"/>
    <col min="4" max="4" width="21.6328125" customWidth="1"/>
    <col min="5" max="5" width="14.08984375" customWidth="1"/>
  </cols>
  <sheetData>
    <row r="3" spans="4:8" ht="15.75" customHeight="1">
      <c r="D3" s="1" t="s">
        <v>0</v>
      </c>
      <c r="E3" s="2" t="s">
        <v>1</v>
      </c>
      <c r="F3" s="2" t="s">
        <v>2</v>
      </c>
      <c r="G3" s="2" t="s">
        <v>3</v>
      </c>
      <c r="H3" s="3" t="s">
        <v>4</v>
      </c>
    </row>
    <row r="4" spans="4:8" ht="15.75" customHeight="1">
      <c r="D4" s="4" t="s">
        <v>5</v>
      </c>
      <c r="E4" s="5"/>
      <c r="F4" s="5">
        <v>73.8</v>
      </c>
      <c r="G4" s="5">
        <v>304.10000000000002</v>
      </c>
      <c r="H4" s="5">
        <v>44</v>
      </c>
    </row>
    <row r="5" spans="4:8" ht="15.75" customHeight="1">
      <c r="D5" s="6" t="s">
        <v>6</v>
      </c>
      <c r="E5" s="7"/>
      <c r="F5" s="7">
        <v>33.9</v>
      </c>
      <c r="G5" s="7">
        <v>126.2</v>
      </c>
      <c r="H5" s="7">
        <v>28</v>
      </c>
    </row>
    <row r="6" spans="4:8" ht="15.75" customHeight="1">
      <c r="D6" s="8" t="s">
        <v>7</v>
      </c>
      <c r="E6" s="9">
        <v>323</v>
      </c>
      <c r="F6" s="10"/>
    </row>
    <row r="7" spans="4:8" ht="15.75" customHeight="1">
      <c r="D7" s="4" t="s">
        <v>8</v>
      </c>
      <c r="E7" s="5">
        <v>2</v>
      </c>
      <c r="F7" s="10"/>
    </row>
    <row r="8" spans="4:8" ht="15.75" customHeight="1">
      <c r="D8" s="4" t="s">
        <v>9</v>
      </c>
      <c r="E8" s="5">
        <f>2.745*10^(-4)</f>
        <v>2.745E-4</v>
      </c>
      <c r="F8" s="10"/>
    </row>
    <row r="9" spans="4:8" ht="15.75" customHeight="1">
      <c r="D9" s="6" t="s">
        <v>10</v>
      </c>
      <c r="E9" s="7">
        <v>1.823</v>
      </c>
      <c r="F9" s="10"/>
    </row>
    <row r="11" spans="4:8" ht="15.75" customHeight="1">
      <c r="D11" s="11" t="s">
        <v>11</v>
      </c>
      <c r="E11" s="12">
        <f>(E8/E7)*((E6/(SQRT(G4*G5)))^E9)*((F4*F5)^(1/3))*((G4*G5)^(5/12))*(((1/H4)+(1/H5))^(1/2))</f>
        <v>9.1106207727984667E-2</v>
      </c>
      <c r="F11" s="13" t="s">
        <v>12</v>
      </c>
    </row>
    <row r="20" spans="1:2" ht="12.5">
      <c r="A20" s="10" t="s">
        <v>13</v>
      </c>
    </row>
    <row r="21" spans="1:2" ht="12.5">
      <c r="A21" s="10" t="s">
        <v>14</v>
      </c>
      <c r="B21" s="10">
        <f>0.000364</f>
        <v>3.6400000000000001E-4</v>
      </c>
    </row>
    <row r="22" spans="1:2" ht="12.5">
      <c r="A22" s="10" t="s">
        <v>15</v>
      </c>
      <c r="B22" s="10">
        <v>2.3340000000000001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E3:J12"/>
  <sheetViews>
    <sheetView workbookViewId="0"/>
  </sheetViews>
  <sheetFormatPr baseColWidth="10" defaultColWidth="12.6328125" defaultRowHeight="15.75" customHeight="1"/>
  <sheetData>
    <row r="3" spans="5:10" ht="15.75" customHeight="1">
      <c r="E3" s="14" t="s">
        <v>1</v>
      </c>
      <c r="F3" s="15" t="s">
        <v>16</v>
      </c>
      <c r="G3" s="15" t="s">
        <v>17</v>
      </c>
      <c r="H3" s="15" t="s">
        <v>18</v>
      </c>
      <c r="I3" s="15" t="s">
        <v>19</v>
      </c>
      <c r="J3" s="16" t="s">
        <v>4</v>
      </c>
    </row>
    <row r="4" spans="5:10" ht="15.75" customHeight="1">
      <c r="E4" s="17" t="s">
        <v>20</v>
      </c>
      <c r="F4" s="18">
        <v>190</v>
      </c>
      <c r="G4" s="18">
        <v>3.996</v>
      </c>
      <c r="H4" s="18">
        <v>323</v>
      </c>
      <c r="I4" s="18">
        <v>2</v>
      </c>
      <c r="J4" s="19">
        <v>44</v>
      </c>
    </row>
    <row r="5" spans="5:10" ht="15.75" customHeight="1">
      <c r="E5" s="20" t="s">
        <v>21</v>
      </c>
      <c r="F5" s="21">
        <v>99.8</v>
      </c>
      <c r="G5" s="21">
        <v>3.6669999999999998</v>
      </c>
      <c r="H5" s="21">
        <v>323</v>
      </c>
      <c r="I5" s="21">
        <v>2</v>
      </c>
      <c r="J5" s="22">
        <v>28</v>
      </c>
    </row>
    <row r="6" spans="5:10" ht="15.75" customHeight="1">
      <c r="E6" s="18"/>
      <c r="F6" s="18"/>
      <c r="G6" s="18"/>
      <c r="H6" s="18"/>
      <c r="I6" s="18"/>
      <c r="J6" s="18"/>
    </row>
    <row r="7" spans="5:10" ht="15.75" customHeight="1">
      <c r="E7" s="18"/>
      <c r="F7" s="18"/>
      <c r="G7" s="18"/>
      <c r="H7" s="18"/>
      <c r="I7" s="18"/>
      <c r="J7" s="18"/>
    </row>
    <row r="8" spans="5:10" ht="15.75" customHeight="1">
      <c r="E8" s="18"/>
      <c r="F8" s="18"/>
      <c r="G8" s="18"/>
      <c r="H8" s="18"/>
      <c r="I8" s="18"/>
      <c r="J8" s="18"/>
    </row>
    <row r="9" spans="5:10" ht="15.75" customHeight="1">
      <c r="F9" s="14" t="s">
        <v>22</v>
      </c>
      <c r="G9" s="15" t="s">
        <v>23</v>
      </c>
      <c r="H9" s="15" t="s">
        <v>24</v>
      </c>
      <c r="I9" s="16" t="s">
        <v>25</v>
      </c>
      <c r="J9" s="18"/>
    </row>
    <row r="10" spans="5:10" ht="15.75" customHeight="1">
      <c r="F10" s="20">
        <f>SQRT(F4*F5)</f>
        <v>137.70257804413103</v>
      </c>
      <c r="G10" s="21">
        <f>AVERAGE(G4:G5)</f>
        <v>3.8315000000000001</v>
      </c>
      <c r="H10" s="21">
        <f>H4/F10</f>
        <v>2.345635096944116</v>
      </c>
      <c r="I10" s="22">
        <v>1.0269999999999999</v>
      </c>
      <c r="J10" s="18"/>
    </row>
    <row r="11" spans="5:10" ht="15.75" customHeight="1">
      <c r="E11" s="18"/>
      <c r="F11" s="18"/>
      <c r="G11" s="18"/>
      <c r="H11" s="18"/>
      <c r="I11" s="18"/>
      <c r="J11" s="18"/>
    </row>
    <row r="12" spans="5:10" ht="15.75" customHeight="1">
      <c r="F12" s="23" t="s">
        <v>11</v>
      </c>
      <c r="G12" s="24">
        <f>0.0011858*((H4^(3/2))/(I4*G10^2*I10))*(SQRT(1/J4+1/J5))</f>
        <v>5.5187157389294215E-2</v>
      </c>
      <c r="H12" s="25" t="s">
        <v>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"/>
  <sheetViews>
    <sheetView tabSelected="1" topLeftCell="A6" workbookViewId="0">
      <selection activeCell="H10" sqref="H10"/>
    </sheetView>
  </sheetViews>
  <sheetFormatPr baseColWidth="10" defaultColWidth="12.6328125" defaultRowHeight="15.75" customHeight="1"/>
  <cols>
    <col min="3" max="3" width="16.90625" customWidth="1"/>
    <col min="6" max="6" width="15.7265625" customWidth="1"/>
    <col min="8" max="8" width="15" customWidth="1"/>
  </cols>
  <sheetData>
    <row r="1" spans="1:11" ht="15.75" customHeight="1">
      <c r="J1" s="26"/>
    </row>
    <row r="2" spans="1:11" ht="15.75" customHeight="1">
      <c r="J2" s="18"/>
    </row>
    <row r="3" spans="1:11" ht="15.75" customHeight="1">
      <c r="C3" s="27" t="s">
        <v>5</v>
      </c>
      <c r="D3" s="28"/>
      <c r="E3" s="29"/>
      <c r="F3" s="30" t="s">
        <v>6</v>
      </c>
      <c r="G3" s="16"/>
      <c r="I3" s="27" t="s">
        <v>18</v>
      </c>
      <c r="J3" s="18"/>
      <c r="K3" s="18"/>
    </row>
    <row r="4" spans="1:11" ht="15.75" customHeight="1">
      <c r="C4" s="31" t="s">
        <v>27</v>
      </c>
      <c r="D4" s="32">
        <v>60</v>
      </c>
      <c r="E4" s="18"/>
      <c r="F4" s="33" t="s">
        <v>28</v>
      </c>
      <c r="G4" s="32">
        <v>18</v>
      </c>
      <c r="I4" s="34">
        <f>12.5+273</f>
        <v>285.5</v>
      </c>
      <c r="J4" s="18"/>
      <c r="K4" s="18"/>
    </row>
    <row r="5" spans="1:11" ht="15.75" customHeight="1">
      <c r="A5" s="18"/>
      <c r="B5" s="18"/>
      <c r="C5" s="31" t="s">
        <v>29</v>
      </c>
      <c r="D5" s="32">
        <v>0.93700000000000006</v>
      </c>
      <c r="E5" s="18"/>
      <c r="F5" s="33" t="s">
        <v>30</v>
      </c>
      <c r="G5" s="32">
        <v>1.0019</v>
      </c>
    </row>
    <row r="6" spans="1:11" ht="15.75" customHeight="1">
      <c r="A6" s="18"/>
      <c r="B6" s="18"/>
      <c r="C6" s="35" t="s">
        <v>31</v>
      </c>
      <c r="D6" s="36">
        <f>D4/D5</f>
        <v>64.034151547491987</v>
      </c>
      <c r="E6" s="18" t="s">
        <v>38</v>
      </c>
      <c r="F6" s="37" t="s">
        <v>32</v>
      </c>
      <c r="G6" s="36">
        <v>2.6</v>
      </c>
    </row>
    <row r="7" spans="1:11" ht="15.75" customHeight="1">
      <c r="A7" s="18"/>
      <c r="B7" s="18"/>
      <c r="C7" s="18"/>
      <c r="D7" s="18"/>
      <c r="E7" s="18"/>
      <c r="F7" s="18"/>
      <c r="G7" s="18"/>
    </row>
    <row r="8" spans="1:11" ht="15.75" customHeight="1">
      <c r="A8" s="18"/>
      <c r="B8" s="18"/>
      <c r="C8" s="18"/>
      <c r="D8" s="18"/>
      <c r="E8" s="18"/>
      <c r="F8" s="18"/>
      <c r="G8" s="18"/>
    </row>
    <row r="9" spans="1:11" ht="15.75" customHeight="1">
      <c r="C9" s="18"/>
      <c r="D9" s="18"/>
      <c r="E9" s="18"/>
      <c r="F9" s="18"/>
      <c r="G9" s="18"/>
    </row>
    <row r="10" spans="1:11" ht="15.75" customHeight="1">
      <c r="C10" s="18"/>
      <c r="D10" s="38" t="s">
        <v>11</v>
      </c>
      <c r="E10" s="39">
        <f>(7.4*10^-8)*(((G6*G4)^(1/2)*I4))/(G5*D6^(0.6))</f>
        <v>1.189294434531704E-5</v>
      </c>
      <c r="F10" s="40" t="s">
        <v>26</v>
      </c>
      <c r="G10" s="18"/>
      <c r="H10" s="86">
        <f>E10-0.0000091</f>
        <v>2.7929443453170404E-6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8:L13"/>
  <sheetViews>
    <sheetView workbookViewId="0">
      <selection activeCell="C9" sqref="C9"/>
    </sheetView>
  </sheetViews>
  <sheetFormatPr baseColWidth="10" defaultColWidth="12.6328125" defaultRowHeight="15.75" customHeight="1"/>
  <sheetData>
    <row r="8" spans="2:12" ht="15.75" customHeight="1">
      <c r="B8" s="41" t="s">
        <v>1</v>
      </c>
      <c r="C8" s="42" t="s">
        <v>33</v>
      </c>
      <c r="D8" s="42" t="s">
        <v>4</v>
      </c>
      <c r="E8" s="42" t="s">
        <v>24</v>
      </c>
      <c r="F8" s="42" t="s">
        <v>34</v>
      </c>
      <c r="G8" s="42" t="s">
        <v>17</v>
      </c>
      <c r="H8" s="42" t="s">
        <v>35</v>
      </c>
      <c r="I8" s="43" t="s">
        <v>36</v>
      </c>
      <c r="J8" s="44"/>
      <c r="K8" s="45" t="s">
        <v>19</v>
      </c>
      <c r="L8" s="46" t="s">
        <v>18</v>
      </c>
    </row>
    <row r="9" spans="2:12" ht="15.75" customHeight="1">
      <c r="B9" s="47"/>
      <c r="C9" s="44"/>
      <c r="D9" s="48"/>
      <c r="E9" s="49" t="e">
        <f t="shared" ref="E9:E11" si="0">$L$9/C9</f>
        <v>#DIV/0!</v>
      </c>
      <c r="F9" s="44"/>
      <c r="G9" s="49"/>
      <c r="H9" s="50" t="e">
        <f t="shared" ref="H9:H11" si="1">IF(I9&lt;&gt;0,I9,(2.6693*10^-5)*(SQRT(D9*$L$9)/(G9^2*F9)))</f>
        <v>#DIV/0!</v>
      </c>
      <c r="I9" s="51">
        <v>0</v>
      </c>
      <c r="J9" s="44"/>
      <c r="K9" s="52"/>
      <c r="L9" s="53"/>
    </row>
    <row r="10" spans="2:12" ht="15.75" customHeight="1">
      <c r="B10" s="47"/>
      <c r="C10" s="44"/>
      <c r="D10" s="48"/>
      <c r="E10" s="49" t="e">
        <f t="shared" si="0"/>
        <v>#DIV/0!</v>
      </c>
      <c r="F10" s="44"/>
      <c r="G10" s="49"/>
      <c r="H10" s="50" t="e">
        <f t="shared" si="1"/>
        <v>#DIV/0!</v>
      </c>
      <c r="I10" s="51">
        <v>0</v>
      </c>
      <c r="J10" s="44"/>
      <c r="K10" s="44"/>
      <c r="L10" s="44"/>
    </row>
    <row r="11" spans="2:12" ht="15.75" customHeight="1">
      <c r="B11" s="54"/>
      <c r="C11" s="55"/>
      <c r="D11" s="56"/>
      <c r="E11" s="57" t="e">
        <f t="shared" si="0"/>
        <v>#DIV/0!</v>
      </c>
      <c r="F11" s="55"/>
      <c r="G11" s="57"/>
      <c r="H11" s="58" t="e">
        <f t="shared" si="1"/>
        <v>#DIV/0!</v>
      </c>
      <c r="I11" s="59">
        <v>0</v>
      </c>
      <c r="J11" s="44"/>
      <c r="K11" s="44"/>
      <c r="L11" s="44"/>
    </row>
    <row r="12" spans="2:12" ht="15.75" customHeight="1">
      <c r="B12" s="44"/>
      <c r="C12" s="44"/>
      <c r="D12" s="44"/>
      <c r="E12" s="60" t="s">
        <v>37</v>
      </c>
      <c r="F12" s="44"/>
      <c r="G12" s="60"/>
      <c r="H12" s="44" t="s">
        <v>38</v>
      </c>
      <c r="I12" s="44"/>
      <c r="J12" s="44"/>
      <c r="K12" s="44"/>
      <c r="L12" s="44"/>
    </row>
    <row r="13" spans="2:12" ht="15.75" customHeight="1">
      <c r="B13" s="44"/>
      <c r="C13" s="44"/>
      <c r="D13" s="44"/>
      <c r="E13" s="60"/>
      <c r="F13" s="44"/>
      <c r="G13" s="60"/>
      <c r="H13" s="44"/>
      <c r="I13" s="44"/>
      <c r="J13" s="44"/>
      <c r="K13" s="44"/>
      <c r="L13" s="4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27"/>
  <sheetViews>
    <sheetView workbookViewId="0">
      <selection activeCell="H1" sqref="H1"/>
    </sheetView>
  </sheetViews>
  <sheetFormatPr baseColWidth="10" defaultColWidth="12.6328125" defaultRowHeight="15.75" customHeight="1"/>
  <cols>
    <col min="4" max="4" width="8" customWidth="1"/>
    <col min="5" max="5" width="8.7265625" customWidth="1"/>
    <col min="6" max="6" width="8" customWidth="1"/>
    <col min="7" max="7" width="20.26953125" customWidth="1"/>
    <col min="8" max="8" width="20.453125" customWidth="1"/>
    <col min="9" max="9" width="7.90625" customWidth="1"/>
    <col min="11" max="11" width="26.453125" customWidth="1"/>
    <col min="15" max="15" width="16.36328125" customWidth="1"/>
  </cols>
  <sheetData>
    <row r="1" spans="1:15" ht="15.75" customHeight="1">
      <c r="A1" s="41" t="s">
        <v>1</v>
      </c>
      <c r="B1" s="61" t="s">
        <v>33</v>
      </c>
      <c r="C1" s="61" t="s">
        <v>39</v>
      </c>
      <c r="D1" s="61" t="s">
        <v>40</v>
      </c>
      <c r="E1" s="61" t="s">
        <v>24</v>
      </c>
      <c r="F1" s="61" t="s">
        <v>34</v>
      </c>
      <c r="G1" s="61" t="s">
        <v>17</v>
      </c>
      <c r="H1" s="61" t="s">
        <v>41</v>
      </c>
      <c r="I1" s="62" t="s">
        <v>36</v>
      </c>
      <c r="J1" s="63" t="s">
        <v>35</v>
      </c>
      <c r="K1" s="64" t="s">
        <v>42</v>
      </c>
      <c r="L1" s="65"/>
      <c r="M1" s="66" t="s">
        <v>19</v>
      </c>
      <c r="N1" s="67" t="s">
        <v>18</v>
      </c>
      <c r="O1" s="68" t="s">
        <v>43</v>
      </c>
    </row>
    <row r="2" spans="1:15" ht="15.75" customHeight="1">
      <c r="A2" s="47"/>
      <c r="B2" s="48"/>
      <c r="C2" s="48"/>
      <c r="D2" s="48"/>
      <c r="E2" s="69" t="e">
        <f t="shared" ref="E2:E4" si="0">$N$2/B2</f>
        <v>#DIV/0!</v>
      </c>
      <c r="F2" s="44"/>
      <c r="G2" s="69"/>
      <c r="H2" s="70" t="e">
        <f t="shared" ref="H2:H4" si="1">(K2+(5/4)*($O$2/C2))*J2</f>
        <v>#DIV/0!</v>
      </c>
      <c r="I2" s="44"/>
      <c r="J2" s="70" t="e">
        <f t="shared" ref="J2:J4" si="2">IF(I2&lt;&gt;0,I2,(2.6693*10^-5)*(SQRT(C2*$N$2)/(G2^2*F2)))</f>
        <v>#DIV/0!</v>
      </c>
      <c r="K2" s="5"/>
      <c r="M2" s="71"/>
      <c r="N2" s="56"/>
      <c r="O2" s="7"/>
    </row>
    <row r="3" spans="1:15" ht="15.75" customHeight="1">
      <c r="A3" s="47"/>
      <c r="B3" s="48"/>
      <c r="C3" s="48"/>
      <c r="D3" s="48"/>
      <c r="E3" s="69" t="e">
        <f t="shared" si="0"/>
        <v>#DIV/0!</v>
      </c>
      <c r="F3" s="44"/>
      <c r="G3" s="69"/>
      <c r="H3" s="70" t="e">
        <f t="shared" si="1"/>
        <v>#DIV/0!</v>
      </c>
      <c r="I3" s="44"/>
      <c r="J3" s="70" t="e">
        <f t="shared" si="2"/>
        <v>#DIV/0!</v>
      </c>
      <c r="K3" s="5"/>
      <c r="M3" s="44"/>
      <c r="N3" s="44"/>
    </row>
    <row r="4" spans="1:15" ht="15.75" customHeight="1">
      <c r="A4" s="54"/>
      <c r="B4" s="56"/>
      <c r="C4" s="56"/>
      <c r="D4" s="56"/>
      <c r="E4" s="72" t="e">
        <f t="shared" si="0"/>
        <v>#DIV/0!</v>
      </c>
      <c r="F4" s="55"/>
      <c r="G4" s="72"/>
      <c r="H4" s="73" t="e">
        <f t="shared" si="1"/>
        <v>#DIV/0!</v>
      </c>
      <c r="I4" s="55"/>
      <c r="J4" s="73" t="e">
        <f t="shared" si="2"/>
        <v>#DIV/0!</v>
      </c>
      <c r="K4" s="53"/>
      <c r="L4" s="44"/>
    </row>
    <row r="5" spans="1:15" ht="15.75" customHeight="1">
      <c r="A5" s="44"/>
      <c r="B5" s="44"/>
      <c r="C5" s="44"/>
      <c r="D5" s="44"/>
      <c r="E5" s="69" t="s">
        <v>37</v>
      </c>
      <c r="F5" s="48"/>
      <c r="G5" s="69"/>
      <c r="H5" s="48" t="s">
        <v>38</v>
      </c>
      <c r="I5" s="48"/>
      <c r="J5" s="48" t="s">
        <v>38</v>
      </c>
      <c r="K5" s="44"/>
      <c r="L5" s="44"/>
    </row>
    <row r="6" spans="1:15" ht="15.75" customHeight="1">
      <c r="A6" s="44"/>
      <c r="B6" s="44"/>
      <c r="C6" s="44"/>
      <c r="D6" s="44"/>
      <c r="E6" s="60"/>
      <c r="F6" s="44"/>
      <c r="G6" s="60"/>
      <c r="H6" s="44"/>
      <c r="I6" s="44"/>
      <c r="J6" s="44"/>
      <c r="K6" s="44"/>
      <c r="L6" s="44"/>
    </row>
    <row r="7" spans="1:15" ht="15.75" customHeight="1">
      <c r="A7" s="44"/>
      <c r="B7" s="44"/>
      <c r="C7" s="44"/>
      <c r="D7" s="44"/>
      <c r="E7" s="44"/>
      <c r="F7" s="44"/>
      <c r="G7" s="60"/>
      <c r="H7" s="44"/>
      <c r="I7" s="60"/>
      <c r="J7" s="44"/>
      <c r="K7" s="44"/>
      <c r="L7" s="44"/>
    </row>
    <row r="8" spans="1:15" ht="15.75" customHeight="1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</row>
    <row r="9" spans="1:15" ht="15.7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</row>
    <row r="10" spans="1:15" ht="15.7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</row>
    <row r="11" spans="1:15" ht="15.7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spans="1:15" ht="15.75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</row>
    <row r="13" spans="1:15" ht="15.7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</row>
    <row r="14" spans="1:15" ht="15.75" customHeight="1">
      <c r="A14" s="74" t="s">
        <v>44</v>
      </c>
      <c r="B14" s="74" t="s">
        <v>45</v>
      </c>
      <c r="C14" s="74" t="s">
        <v>46</v>
      </c>
      <c r="D14" s="74" t="s">
        <v>47</v>
      </c>
      <c r="E14" s="74" t="s">
        <v>48</v>
      </c>
      <c r="F14" s="75" t="s">
        <v>49</v>
      </c>
      <c r="G14" s="74" t="s">
        <v>50</v>
      </c>
      <c r="H14" s="44"/>
      <c r="I14" s="44"/>
      <c r="J14" s="44"/>
      <c r="K14" s="44"/>
      <c r="L14" s="44"/>
    </row>
    <row r="15" spans="1:15" ht="15.75" customHeight="1">
      <c r="A15" s="76">
        <v>1</v>
      </c>
      <c r="B15" s="48">
        <v>1</v>
      </c>
      <c r="C15" s="77" t="e">
        <f>C2/C2</f>
        <v>#DIV/0!</v>
      </c>
      <c r="D15" s="77" t="e">
        <f>H2/H2</f>
        <v>#DIV/0!</v>
      </c>
      <c r="E15" s="77" t="e">
        <f t="shared" ref="E15:E23" si="3">8^(-1/2)*(1+C15)^(-1/2)*(1+D15^(1/2)*C15^(-1/4))^2</f>
        <v>#DIV/0!</v>
      </c>
      <c r="F15" s="77" t="e">
        <f t="shared" ref="F15:F17" si="4">D2*E15</f>
        <v>#DIV/0!</v>
      </c>
      <c r="G15" s="78" t="e">
        <f>SUM(F15:F17)</f>
        <v>#DIV/0!</v>
      </c>
      <c r="H15" s="44"/>
      <c r="I15" s="44"/>
      <c r="J15" s="44"/>
      <c r="K15" s="44"/>
      <c r="L15" s="44"/>
    </row>
    <row r="16" spans="1:15" ht="15.75" customHeight="1">
      <c r="A16" s="79"/>
      <c r="B16" s="48">
        <v>2</v>
      </c>
      <c r="C16" s="77" t="e">
        <f>C2/C3</f>
        <v>#DIV/0!</v>
      </c>
      <c r="D16" s="77" t="e">
        <f>H2/H3</f>
        <v>#DIV/0!</v>
      </c>
      <c r="E16" s="77" t="e">
        <f t="shared" si="3"/>
        <v>#DIV/0!</v>
      </c>
      <c r="F16" s="77" t="e">
        <f t="shared" si="4"/>
        <v>#DIV/0!</v>
      </c>
      <c r="G16" s="80"/>
      <c r="H16" s="44"/>
      <c r="I16" s="44"/>
      <c r="J16" s="44"/>
      <c r="K16" s="44"/>
      <c r="L16" s="44"/>
    </row>
    <row r="17" spans="1:12" ht="15.75" customHeight="1">
      <c r="A17" s="81"/>
      <c r="B17" s="56">
        <v>3</v>
      </c>
      <c r="C17" s="82" t="e">
        <f>C2/C4</f>
        <v>#DIV/0!</v>
      </c>
      <c r="D17" s="82" t="e">
        <f>H2/H4</f>
        <v>#DIV/0!</v>
      </c>
      <c r="E17" s="82" t="e">
        <f t="shared" si="3"/>
        <v>#DIV/0!</v>
      </c>
      <c r="F17" s="82" t="e">
        <f t="shared" si="4"/>
        <v>#DIV/0!</v>
      </c>
      <c r="G17" s="83"/>
      <c r="H17" s="44"/>
      <c r="I17" s="44"/>
      <c r="J17" s="44"/>
      <c r="K17" s="44"/>
      <c r="L17" s="44"/>
    </row>
    <row r="18" spans="1:12" ht="15.75" customHeight="1">
      <c r="A18" s="76">
        <v>2</v>
      </c>
      <c r="B18" s="48">
        <v>1</v>
      </c>
      <c r="C18" s="77" t="e">
        <f>C3/C2</f>
        <v>#DIV/0!</v>
      </c>
      <c r="D18" s="77" t="e">
        <f>H3/H2</f>
        <v>#DIV/0!</v>
      </c>
      <c r="E18" s="77" t="e">
        <f t="shared" si="3"/>
        <v>#DIV/0!</v>
      </c>
      <c r="F18" s="77" t="e">
        <f t="shared" ref="F18:F20" si="5">D2*E18</f>
        <v>#DIV/0!</v>
      </c>
      <c r="G18" s="78" t="e">
        <f>SUM(F18:F20)</f>
        <v>#DIV/0!</v>
      </c>
      <c r="H18" s="44"/>
      <c r="I18" s="44"/>
      <c r="J18" s="44"/>
      <c r="K18" s="44"/>
      <c r="L18" s="44"/>
    </row>
    <row r="19" spans="1:12" ht="15.75" customHeight="1">
      <c r="A19" s="79"/>
      <c r="B19" s="48">
        <v>2</v>
      </c>
      <c r="C19" s="77" t="e">
        <f>C3/C3</f>
        <v>#DIV/0!</v>
      </c>
      <c r="D19" s="77" t="e">
        <f>H3/H3</f>
        <v>#DIV/0!</v>
      </c>
      <c r="E19" s="77" t="e">
        <f t="shared" si="3"/>
        <v>#DIV/0!</v>
      </c>
      <c r="F19" s="77" t="e">
        <f t="shared" si="5"/>
        <v>#DIV/0!</v>
      </c>
      <c r="G19" s="80"/>
      <c r="H19" s="44"/>
      <c r="I19" s="44"/>
      <c r="J19" s="44"/>
      <c r="K19" s="44"/>
      <c r="L19" s="44"/>
    </row>
    <row r="20" spans="1:12" ht="12.5">
      <c r="A20" s="81"/>
      <c r="B20" s="56">
        <v>3</v>
      </c>
      <c r="C20" s="82" t="e">
        <f>C3/C4</f>
        <v>#DIV/0!</v>
      </c>
      <c r="D20" s="82" t="e">
        <f>H3/H4</f>
        <v>#DIV/0!</v>
      </c>
      <c r="E20" s="82" t="e">
        <f t="shared" si="3"/>
        <v>#DIV/0!</v>
      </c>
      <c r="F20" s="82" t="e">
        <f t="shared" si="5"/>
        <v>#DIV/0!</v>
      </c>
      <c r="G20" s="83"/>
      <c r="H20" s="44"/>
      <c r="I20" s="44"/>
      <c r="J20" s="44"/>
      <c r="K20" s="44"/>
      <c r="L20" s="44"/>
    </row>
    <row r="21" spans="1:12" ht="16.5">
      <c r="A21" s="76">
        <v>3</v>
      </c>
      <c r="B21" s="48">
        <v>1</v>
      </c>
      <c r="C21" s="77" t="e">
        <f>C4/C2</f>
        <v>#DIV/0!</v>
      </c>
      <c r="D21" s="77" t="e">
        <f>H4/H2</f>
        <v>#DIV/0!</v>
      </c>
      <c r="E21" s="77" t="e">
        <f t="shared" si="3"/>
        <v>#DIV/0!</v>
      </c>
      <c r="F21" s="77" t="e">
        <f t="shared" ref="F21:F23" si="6">D2*E21</f>
        <v>#DIV/0!</v>
      </c>
      <c r="G21" s="78" t="e">
        <f>SUM(F21:F23)</f>
        <v>#DIV/0!</v>
      </c>
      <c r="H21" s="44"/>
      <c r="I21" s="44"/>
      <c r="J21" s="44"/>
      <c r="K21" s="44"/>
      <c r="L21" s="44" t="s">
        <v>51</v>
      </c>
    </row>
    <row r="22" spans="1:12" ht="12.5">
      <c r="A22" s="79"/>
      <c r="B22" s="48">
        <v>2</v>
      </c>
      <c r="C22" s="77" t="e">
        <f>C4/C3</f>
        <v>#DIV/0!</v>
      </c>
      <c r="D22" s="77" t="e">
        <f>H4/H3</f>
        <v>#DIV/0!</v>
      </c>
      <c r="E22" s="77" t="e">
        <f t="shared" si="3"/>
        <v>#DIV/0!</v>
      </c>
      <c r="F22" s="77" t="e">
        <f t="shared" si="6"/>
        <v>#DIV/0!</v>
      </c>
      <c r="G22" s="80"/>
      <c r="H22" s="44"/>
      <c r="I22" s="44"/>
      <c r="J22" s="44"/>
      <c r="K22" s="44"/>
      <c r="L22" s="44"/>
    </row>
    <row r="23" spans="1:12" ht="12.5">
      <c r="A23" s="81"/>
      <c r="B23" s="56">
        <v>3</v>
      </c>
      <c r="C23" s="82" t="e">
        <f>C4/C4</f>
        <v>#DIV/0!</v>
      </c>
      <c r="D23" s="82" t="e">
        <f>H4/H4</f>
        <v>#DIV/0!</v>
      </c>
      <c r="E23" s="82" t="e">
        <f t="shared" si="3"/>
        <v>#DIV/0!</v>
      </c>
      <c r="F23" s="82" t="e">
        <f t="shared" si="6"/>
        <v>#DIV/0!</v>
      </c>
      <c r="G23" s="83"/>
      <c r="H23" s="44"/>
      <c r="I23" s="44"/>
      <c r="J23" s="44"/>
      <c r="K23" s="44"/>
      <c r="L23" s="44"/>
    </row>
    <row r="24" spans="1:12" ht="25">
      <c r="A24" s="44"/>
      <c r="B24" s="44"/>
      <c r="C24" s="44"/>
      <c r="D24" s="44"/>
      <c r="E24" s="44"/>
      <c r="F24" s="44"/>
      <c r="G24" s="84" t="e">
        <f>(D2*H2)/G15+(D3*H3)/G18+(D4*H4)/G21</f>
        <v>#DIV/0!</v>
      </c>
      <c r="H24" s="44" t="s">
        <v>52</v>
      </c>
      <c r="I24" s="44"/>
      <c r="J24" s="44"/>
      <c r="K24" s="44"/>
      <c r="L24" s="44"/>
    </row>
    <row r="25" spans="1:12" ht="12.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</row>
    <row r="26" spans="1:12" ht="12.5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</row>
    <row r="27" spans="1:12" ht="12.5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20"/>
  <sheetViews>
    <sheetView workbookViewId="0">
      <selection activeCell="D10" sqref="D10"/>
    </sheetView>
  </sheetViews>
  <sheetFormatPr baseColWidth="10" defaultColWidth="12.6328125" defaultRowHeight="15.75" customHeight="1"/>
  <cols>
    <col min="2" max="2" width="10.26953125" customWidth="1"/>
    <col min="4" max="4" width="9.36328125" customWidth="1"/>
    <col min="5" max="6" width="8.36328125" customWidth="1"/>
    <col min="7" max="7" width="19.90625" customWidth="1"/>
    <col min="8" max="8" width="17.453125" customWidth="1"/>
    <col min="9" max="9" width="7.6328125" customWidth="1"/>
    <col min="11" max="11" width="27.453125" customWidth="1"/>
    <col min="15" max="15" width="16.26953125" customWidth="1"/>
  </cols>
  <sheetData>
    <row r="1" spans="1:15" ht="15.75" customHeight="1">
      <c r="A1" s="41" t="s">
        <v>1</v>
      </c>
      <c r="B1" s="61" t="s">
        <v>33</v>
      </c>
      <c r="C1" s="61" t="s">
        <v>39</v>
      </c>
      <c r="D1" s="61" t="s">
        <v>40</v>
      </c>
      <c r="E1" s="61" t="s">
        <v>24</v>
      </c>
      <c r="F1" s="61" t="s">
        <v>34</v>
      </c>
      <c r="G1" s="61" t="s">
        <v>17</v>
      </c>
      <c r="H1" s="61" t="s">
        <v>41</v>
      </c>
      <c r="I1" s="62" t="s">
        <v>36</v>
      </c>
      <c r="J1" s="63" t="s">
        <v>35</v>
      </c>
      <c r="K1" s="64" t="s">
        <v>42</v>
      </c>
      <c r="L1" s="65"/>
      <c r="M1" s="66" t="s">
        <v>19</v>
      </c>
      <c r="N1" s="67" t="s">
        <v>18</v>
      </c>
      <c r="O1" s="68" t="s">
        <v>43</v>
      </c>
    </row>
    <row r="2" spans="1:15" ht="15.75" customHeight="1">
      <c r="A2" s="47"/>
      <c r="B2" s="48"/>
      <c r="C2" s="48"/>
      <c r="D2" s="48"/>
      <c r="E2" s="69" t="e">
        <f t="shared" ref="E2:E3" si="0">$N$2/B2</f>
        <v>#DIV/0!</v>
      </c>
      <c r="F2" s="85"/>
      <c r="G2" s="69"/>
      <c r="H2" s="70" t="e">
        <f t="shared" ref="H2:H3" si="1">(K2+(5/4)*($O$2/C2))*J2</f>
        <v>#DIV/0!</v>
      </c>
      <c r="I2" s="44"/>
      <c r="J2" s="70" t="e">
        <f t="shared" ref="J2:J3" si="2">IF(I2&lt;&gt;0,I2,(2.6693*10^-5)*(SQRT(C2*$N$2)/(G2^2*F2)))</f>
        <v>#DIV/0!</v>
      </c>
      <c r="K2" s="5"/>
      <c r="M2" s="71"/>
      <c r="N2" s="56"/>
      <c r="O2" s="7"/>
    </row>
    <row r="3" spans="1:15" ht="15.75" customHeight="1">
      <c r="A3" s="54"/>
      <c r="B3" s="56"/>
      <c r="C3" s="56"/>
      <c r="D3" s="56"/>
      <c r="E3" s="72" t="e">
        <f t="shared" si="0"/>
        <v>#DIV/0!</v>
      </c>
      <c r="F3" s="56"/>
      <c r="G3" s="72"/>
      <c r="H3" s="73" t="e">
        <f t="shared" si="1"/>
        <v>#DIV/0!</v>
      </c>
      <c r="I3" s="55"/>
      <c r="J3" s="73" t="e">
        <f t="shared" si="2"/>
        <v>#DIV/0!</v>
      </c>
      <c r="K3" s="7"/>
      <c r="M3" s="44"/>
      <c r="N3" s="44"/>
    </row>
    <row r="4" spans="1:15" ht="15.75" customHeight="1">
      <c r="A4" s="44"/>
      <c r="B4" s="44"/>
      <c r="C4" s="44"/>
      <c r="D4" s="44"/>
      <c r="E4" s="60" t="s">
        <v>37</v>
      </c>
      <c r="F4" s="44"/>
      <c r="G4" s="60"/>
      <c r="H4" s="44" t="s">
        <v>38</v>
      </c>
      <c r="I4" s="44"/>
      <c r="J4" s="44" t="s">
        <v>38</v>
      </c>
      <c r="K4" s="44"/>
      <c r="L4" s="44"/>
    </row>
    <row r="5" spans="1:15" ht="15.75" customHeight="1">
      <c r="A5" s="44"/>
      <c r="B5" s="44"/>
      <c r="C5" s="44"/>
      <c r="D5" s="44"/>
      <c r="E5" s="60"/>
      <c r="F5" s="44"/>
      <c r="G5" s="60"/>
      <c r="H5" s="44"/>
      <c r="I5" s="44"/>
      <c r="J5" s="44"/>
      <c r="K5" s="44"/>
      <c r="L5" s="44"/>
    </row>
    <row r="6" spans="1:15" ht="15.75" customHeight="1">
      <c r="A6" s="44"/>
      <c r="B6" s="44"/>
      <c r="C6" s="44"/>
      <c r="D6" s="44"/>
      <c r="E6" s="44"/>
      <c r="F6" s="44"/>
      <c r="G6" s="60"/>
      <c r="H6" s="44"/>
      <c r="I6" s="60"/>
      <c r="J6" s="44"/>
      <c r="K6" s="44"/>
      <c r="L6" s="44"/>
    </row>
    <row r="7" spans="1:15" ht="15.75" customHeight="1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</row>
    <row r="8" spans="1:15" ht="15.75" customHeight="1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</row>
    <row r="9" spans="1:15" ht="15.7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</row>
    <row r="10" spans="1:15" ht="15.7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</row>
    <row r="11" spans="1:15" ht="15.7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spans="1:15" ht="15.75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</row>
    <row r="13" spans="1:15" ht="15.75" customHeight="1">
      <c r="A13" s="74" t="s">
        <v>44</v>
      </c>
      <c r="B13" s="74" t="s">
        <v>45</v>
      </c>
      <c r="C13" s="74" t="s">
        <v>46</v>
      </c>
      <c r="D13" s="74" t="s">
        <v>47</v>
      </c>
      <c r="E13" s="74" t="s">
        <v>48</v>
      </c>
      <c r="F13" s="75" t="s">
        <v>49</v>
      </c>
      <c r="G13" s="74" t="s">
        <v>50</v>
      </c>
      <c r="H13" s="44"/>
      <c r="I13" s="44"/>
      <c r="J13" s="44"/>
      <c r="K13" s="44"/>
      <c r="L13" s="44"/>
    </row>
    <row r="14" spans="1:15" ht="15.75" customHeight="1">
      <c r="A14" s="76">
        <v>1</v>
      </c>
      <c r="B14" s="48">
        <v>1</v>
      </c>
      <c r="C14" s="77" t="e">
        <f>C2/C2</f>
        <v>#DIV/0!</v>
      </c>
      <c r="D14" s="77" t="e">
        <f>H2/H2</f>
        <v>#DIV/0!</v>
      </c>
      <c r="E14" s="77" t="e">
        <f t="shared" ref="E14:E17" si="3">8^(-1/2)*(1+C14)^(-1/2)*(1+D14^(1/2)*C14^(-1/4))^2</f>
        <v>#DIV/0!</v>
      </c>
      <c r="F14" s="77" t="e">
        <f t="shared" ref="F14:F15" si="4">D2*E14</f>
        <v>#DIV/0!</v>
      </c>
      <c r="G14" s="78" t="e">
        <f>(F14+F15)</f>
        <v>#DIV/0!</v>
      </c>
      <c r="H14" s="44"/>
      <c r="I14" s="44"/>
      <c r="J14" s="44"/>
      <c r="K14" s="44"/>
      <c r="L14" s="44"/>
    </row>
    <row r="15" spans="1:15" ht="15.75" customHeight="1">
      <c r="A15" s="81"/>
      <c r="B15" s="56">
        <v>2</v>
      </c>
      <c r="C15" s="82" t="e">
        <f>C2/C3</f>
        <v>#DIV/0!</v>
      </c>
      <c r="D15" s="82" t="e">
        <f>H2/H3</f>
        <v>#DIV/0!</v>
      </c>
      <c r="E15" s="82" t="e">
        <f t="shared" si="3"/>
        <v>#DIV/0!</v>
      </c>
      <c r="F15" s="82" t="e">
        <f t="shared" si="4"/>
        <v>#DIV/0!</v>
      </c>
      <c r="G15" s="83"/>
      <c r="H15" s="44"/>
      <c r="I15" s="44"/>
      <c r="J15" s="44"/>
      <c r="K15" s="44"/>
      <c r="L15" s="44"/>
    </row>
    <row r="16" spans="1:15" ht="15.75" customHeight="1">
      <c r="A16" s="76">
        <v>2</v>
      </c>
      <c r="B16" s="48">
        <v>1</v>
      </c>
      <c r="C16" s="77" t="e">
        <f>C3/C2</f>
        <v>#DIV/0!</v>
      </c>
      <c r="D16" s="77" t="e">
        <f>H3/H2</f>
        <v>#DIV/0!</v>
      </c>
      <c r="E16" s="77" t="e">
        <f t="shared" si="3"/>
        <v>#DIV/0!</v>
      </c>
      <c r="F16" s="77" t="e">
        <f t="shared" ref="F16:F17" si="5">D2*E16</f>
        <v>#DIV/0!</v>
      </c>
      <c r="G16" s="78" t="e">
        <f>F16+F17</f>
        <v>#DIV/0!</v>
      </c>
      <c r="H16" s="44"/>
      <c r="I16" s="44"/>
      <c r="J16" s="44"/>
      <c r="K16" s="44"/>
      <c r="L16" s="44"/>
    </row>
    <row r="17" spans="1:12" ht="15.75" customHeight="1">
      <c r="A17" s="81"/>
      <c r="B17" s="56">
        <v>2</v>
      </c>
      <c r="C17" s="82" t="e">
        <f>C3/C3</f>
        <v>#DIV/0!</v>
      </c>
      <c r="D17" s="82" t="e">
        <f>H3/H3</f>
        <v>#DIV/0!</v>
      </c>
      <c r="E17" s="82" t="e">
        <f t="shared" si="3"/>
        <v>#DIV/0!</v>
      </c>
      <c r="F17" s="82" t="e">
        <f t="shared" si="5"/>
        <v>#DIV/0!</v>
      </c>
      <c r="G17" s="83"/>
      <c r="H17" s="44"/>
      <c r="I17" s="44"/>
      <c r="J17" s="44"/>
      <c r="K17" s="44"/>
      <c r="L17" s="44"/>
    </row>
    <row r="18" spans="1:12" ht="24" customHeight="1">
      <c r="A18" s="44"/>
      <c r="B18" s="44"/>
      <c r="C18" s="44"/>
      <c r="D18" s="44"/>
      <c r="E18" s="44"/>
      <c r="F18" s="44"/>
      <c r="G18" s="84" t="e">
        <f>(D2*H2)/G14+(D3*H3)/G16</f>
        <v>#DIV/0!</v>
      </c>
      <c r="H18" s="44" t="s">
        <v>52</v>
      </c>
      <c r="I18" s="44"/>
      <c r="J18" s="44"/>
      <c r="K18" s="44"/>
      <c r="L18" s="44"/>
    </row>
    <row r="19" spans="1:12" ht="15.7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</row>
    <row r="20" spans="1:12" ht="12.5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Gases NO polares</vt:lpstr>
      <vt:lpstr>Chapman-Enskog</vt:lpstr>
      <vt:lpstr>Wilkie</vt:lpstr>
      <vt:lpstr>Viscocidades</vt:lpstr>
      <vt:lpstr>Empirica Wilkie (3)</vt:lpstr>
      <vt:lpstr>Empirica Wilkie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Benjamin Junemann Vielma</cp:lastModifiedBy>
  <dcterms:modified xsi:type="dcterms:W3CDTF">2025-11-03T18:43:09Z</dcterms:modified>
</cp:coreProperties>
</file>